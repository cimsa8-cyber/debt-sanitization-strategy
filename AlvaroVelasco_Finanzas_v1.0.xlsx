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  <sheet name="Dashboard" sheetId="2" state="visible" r:id="rId2"/>
    <sheet name="Efectivo" sheetId="3" state="visible" r:id="rId3"/>
    <sheet name="A_R" sheetId="4" state="visible" r:id="rId4"/>
    <sheet name="A_P" sheetId="5" state="visible" r:id="rId5"/>
    <sheet name="Tarjetas_Credito" sheetId="6" state="visible" r:id="rId6"/>
    <sheet name="Conciliacion" sheetId="7" state="visible" r:id="rId7"/>
    <sheet name="Auditoria" sheetId="8" state="visible" r:id="rId8"/>
    <sheet name="Health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&quot;$&quot;#,##0.00"/>
    <numFmt numFmtId="166" formatCode="&quot;₡&quot;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  <col width="25" customWidth="1" min="5" max="5"/>
    <col width="25" customWidth="1" min="6" max="6"/>
    <col width="35" customWidth="1" min="7" max="7"/>
    <col width="15" customWidth="1" min="8" max="8"/>
    <col width="12" customWidth="1" min="9" max="9"/>
    <col width="15" customWidth="1" min="10" max="10"/>
    <col width="15" customWidth="1" min="11" max="11"/>
    <col width="12" customWidth="1" min="12" max="12"/>
    <col width="12" customWidth="1" min="13" max="13"/>
    <col width="12" customWidth="1" min="14" max="14"/>
    <col width="30" customWidth="1" min="15" max="15"/>
    <col hidden="1" width="15" customWidth="1" min="16" max="16"/>
    <col hidden="1" width="15" customWidth="1" min="17" max="17"/>
    <col hidden="1" width="12" customWidth="1" min="18" max="18"/>
    <col hidden="1" width="15" customWidth="1" min="19" max="19"/>
    <col hidden="1" width="30" customWidth="1" min="20" max="20"/>
  </cols>
  <sheetData>
    <row r="1" ht="30" customHeight="1">
      <c r="A1" s="1" t="inlineStr">
        <is>
          <t>Fecha</t>
        </is>
      </c>
      <c r="B1" s="1" t="inlineStr">
        <is>
          <t>Tipo Transacción</t>
        </is>
      </c>
      <c r="C1" s="1" t="inlineStr">
        <is>
          <t>Categoría</t>
        </is>
      </c>
      <c r="D1" s="1" t="inlineStr">
        <is>
          <t>Entidad</t>
        </is>
      </c>
      <c r="E1" s="1" t="inlineStr">
        <is>
          <t>Cuenta Bancaria</t>
        </is>
      </c>
      <c r="F1" s="1" t="inlineStr">
        <is>
          <t>Cliente/Proveedor</t>
        </is>
      </c>
      <c r="G1" s="1" t="inlineStr">
        <is>
          <t>Concepto</t>
        </is>
      </c>
      <c r="H1" s="1" t="inlineStr">
        <is>
          <t>Referencia</t>
        </is>
      </c>
      <c r="I1" s="1" t="inlineStr">
        <is>
          <t>Monto USD</t>
        </is>
      </c>
      <c r="J1" s="1" t="inlineStr">
        <is>
          <t>Monto CRC</t>
        </is>
      </c>
      <c r="K1" s="1" t="inlineStr">
        <is>
          <t>Ingreso/Egreso</t>
        </is>
      </c>
      <c r="L1" s="1" t="inlineStr">
        <is>
          <t>Estado</t>
        </is>
      </c>
      <c r="M1" s="1" t="inlineStr">
        <is>
          <t>Prioridad</t>
        </is>
      </c>
      <c r="N1" s="1" t="inlineStr">
        <is>
          <t>Vencimiento</t>
        </is>
      </c>
      <c r="O1" s="1" t="inlineStr">
        <is>
          <t>Notas</t>
        </is>
      </c>
      <c r="P1" s="1" t="inlineStr">
        <is>
          <t>ID Transacción</t>
        </is>
      </c>
      <c r="Q1" s="1" t="inlineStr">
        <is>
          <t>Fecha Creación</t>
        </is>
      </c>
      <c r="R1" s="1" t="inlineStr">
        <is>
          <t>Usuario</t>
        </is>
      </c>
      <c r="S1" s="1" t="inlineStr">
        <is>
          <t>Duplicado?</t>
        </is>
      </c>
      <c r="T1" s="1" t="inlineStr">
        <is>
          <t>Validación</t>
        </is>
      </c>
    </row>
    <row r="2">
      <c r="A2" s="2" t="n">
        <v>45962</v>
      </c>
      <c r="B2" t="inlineStr">
        <is>
          <t>Apertura Inicial</t>
        </is>
      </c>
      <c r="C2" t="inlineStr">
        <is>
          <t>Efectivo</t>
        </is>
      </c>
      <c r="D2" t="inlineStr">
        <is>
          <t>EMPRESA</t>
        </is>
      </c>
      <c r="E2" t="inlineStr">
        <is>
          <t>Promerica USD (40000003881774)</t>
        </is>
      </c>
      <c r="F2" t="inlineStr">
        <is>
          <t>Sistema</t>
        </is>
      </c>
      <c r="G2" t="inlineStr">
        <is>
          <t>Balance inicial Promerica USD</t>
        </is>
      </c>
      <c r="H2" t="inlineStr">
        <is>
          <t>APERTURA-001</t>
        </is>
      </c>
      <c r="I2" t="n">
        <v>2999.24</v>
      </c>
      <c r="J2">
        <f>I2*507</f>
        <v/>
      </c>
      <c r="K2">
        <f>IF(OR(B2="Factura Cliente",B2="Cobro Factura",B2="Depósito Bancario",B2="Inversión",B2="Dividendo",B2="Apertura Inicial"),"Ingreso","Egreso")</f>
        <v/>
      </c>
      <c r="L2" t="inlineStr">
        <is>
          <t>Cobrado</t>
        </is>
      </c>
      <c r="M2" t="inlineStr">
        <is>
          <t>BAJA</t>
        </is>
      </c>
      <c r="P2" t="inlineStr">
        <is>
          <t>TRX-00002</t>
        </is>
      </c>
      <c r="Q2" s="2" t="n">
        <v>45969.18914699451</v>
      </c>
      <c r="R2" t="inlineStr">
        <is>
          <t>SISTEMA</t>
        </is>
      </c>
      <c r="S2">
        <f>IF(COUNTIFS($A$2:A1,A2,$F$2:F1,F2,$I$2:I1,I2)&gt;0,"🔴 DUPLICADO EXACTO","")</f>
        <v/>
      </c>
      <c r="T2">
        <f>IF(AND(A2&lt;&gt;"",B2&lt;&gt;"",D2&lt;&gt;"",E2&lt;&gt;"",I2&gt;0),"✅ OK","❌ FALTA DATO")</f>
        <v/>
      </c>
    </row>
    <row r="3">
      <c r="A3" s="2" t="n">
        <v>45962</v>
      </c>
      <c r="B3" t="inlineStr">
        <is>
          <t>Apertura Inicial</t>
        </is>
      </c>
      <c r="C3" t="inlineStr">
        <is>
          <t>Efectivo</t>
        </is>
      </c>
      <c r="D3" t="inlineStr">
        <is>
          <t>EMPRESA</t>
        </is>
      </c>
      <c r="E3" t="inlineStr">
        <is>
          <t>BNCR USD (601066-4)</t>
        </is>
      </c>
      <c r="F3" t="inlineStr">
        <is>
          <t>Sistema</t>
        </is>
      </c>
      <c r="G3" t="inlineStr">
        <is>
          <t>Balance inicial BNCR USD</t>
        </is>
      </c>
      <c r="H3" t="inlineStr">
        <is>
          <t>APERTURA-002</t>
        </is>
      </c>
      <c r="I3" t="n">
        <v>1240.87</v>
      </c>
      <c r="J3">
        <f>I3*507</f>
        <v/>
      </c>
      <c r="K3">
        <f>IF(OR(B3="Factura Cliente",B3="Cobro Factura",B3="Depósito Bancario",B3="Inversión",B3="Dividendo",B3="Apertura Inicial"),"Ingreso","Egreso")</f>
        <v/>
      </c>
      <c r="L3" t="inlineStr">
        <is>
          <t>Cobrado</t>
        </is>
      </c>
      <c r="M3" t="inlineStr">
        <is>
          <t>BAJA</t>
        </is>
      </c>
      <c r="P3" t="inlineStr">
        <is>
          <t>TRX-00003</t>
        </is>
      </c>
      <c r="Q3" s="2" t="n">
        <v>45969.18914699541</v>
      </c>
      <c r="R3" t="inlineStr">
        <is>
          <t>SISTEMA</t>
        </is>
      </c>
      <c r="S3">
        <f>IF(COUNTIFS($A$2:A2,A3,$F$2:F2,F3,$I$2:I2,I3)&gt;0,"🔴 DUPLICADO EXACTO","")</f>
        <v/>
      </c>
      <c r="T3">
        <f>IF(AND(A3&lt;&gt;"",B3&lt;&gt;"",D3&lt;&gt;"",E3&lt;&gt;"",I3&gt;0),"✅ OK","❌ FALTA DATO")</f>
        <v/>
      </c>
    </row>
    <row r="4">
      <c r="A4" s="2" t="n">
        <v>45962</v>
      </c>
      <c r="B4" t="inlineStr">
        <is>
          <t>Apertura Inicial</t>
        </is>
      </c>
      <c r="C4" t="inlineStr">
        <is>
          <t>Efectivo</t>
        </is>
      </c>
      <c r="D4" t="inlineStr">
        <is>
          <t>EMPRESA</t>
        </is>
      </c>
      <c r="E4" t="inlineStr">
        <is>
          <t>Promerica CRC (10000003881708)</t>
        </is>
      </c>
      <c r="F4" t="inlineStr">
        <is>
          <t>Sistema</t>
        </is>
      </c>
      <c r="G4" t="inlineStr">
        <is>
          <t>Balance inicial Promerica CRC</t>
        </is>
      </c>
      <c r="H4" t="inlineStr">
        <is>
          <t>APERTURA-003</t>
        </is>
      </c>
      <c r="I4" t="n">
        <v>2.15</v>
      </c>
      <c r="J4">
        <f>I4*507</f>
        <v/>
      </c>
      <c r="K4">
        <f>IF(OR(B4="Factura Cliente",B4="Cobro Factura",B4="Depósito Bancario",B4="Inversión",B4="Dividendo",B4="Apertura Inicial"),"Ingreso","Egreso")</f>
        <v/>
      </c>
      <c r="L4" t="inlineStr">
        <is>
          <t>Cobrado</t>
        </is>
      </c>
      <c r="M4" t="inlineStr">
        <is>
          <t>BAJA</t>
        </is>
      </c>
      <c r="P4" t="inlineStr">
        <is>
          <t>TRX-00004</t>
        </is>
      </c>
      <c r="Q4" s="2" t="n">
        <v>45969.18914699616</v>
      </c>
      <c r="R4" t="inlineStr">
        <is>
          <t>SISTEMA</t>
        </is>
      </c>
      <c r="S4">
        <f>IF(COUNTIFS($A$2:A3,A4,$F$2:F3,F4,$I$2:I3,I4)&gt;0,"🔴 DUPLICADO EXACTO","")</f>
        <v/>
      </c>
      <c r="T4">
        <f>IF(AND(A4&lt;&gt;"",B4&lt;&gt;"",D4&lt;&gt;"",E4&lt;&gt;"",I4&gt;0),"✅ OK","❌ FALTA DATO")</f>
        <v/>
      </c>
    </row>
    <row r="5">
      <c r="A5" s="2" t="n">
        <v>45962</v>
      </c>
      <c r="B5" t="inlineStr">
        <is>
          <t>Apertura Inicial</t>
        </is>
      </c>
      <c r="C5" t="inlineStr">
        <is>
          <t>Efectivo</t>
        </is>
      </c>
      <c r="D5" t="inlineStr">
        <is>
          <t>EMPRESA</t>
        </is>
      </c>
      <c r="E5" t="inlineStr">
        <is>
          <t>BNCR CRC (188618-3)</t>
        </is>
      </c>
      <c r="F5" t="inlineStr">
        <is>
          <t>Sistema</t>
        </is>
      </c>
      <c r="G5" t="inlineStr">
        <is>
          <t>Balance inicial BNCR CRC</t>
        </is>
      </c>
      <c r="H5" t="inlineStr">
        <is>
          <t>APERTURA-004</t>
        </is>
      </c>
      <c r="I5" t="n">
        <v>59.84</v>
      </c>
      <c r="J5">
        <f>I5*507</f>
        <v/>
      </c>
      <c r="K5">
        <f>IF(OR(B5="Factura Cliente",B5="Cobro Factura",B5="Depósito Bancario",B5="Inversión",B5="Dividendo",B5="Apertura Inicial"),"Ingreso","Egreso")</f>
        <v/>
      </c>
      <c r="L5" t="inlineStr">
        <is>
          <t>Cobrado</t>
        </is>
      </c>
      <c r="M5" t="inlineStr">
        <is>
          <t>BAJA</t>
        </is>
      </c>
      <c r="P5" t="inlineStr">
        <is>
          <t>TRX-00005</t>
        </is>
      </c>
      <c r="Q5" s="2" t="n">
        <v>45969.18914699707</v>
      </c>
      <c r="R5" t="inlineStr">
        <is>
          <t>SISTEMA</t>
        </is>
      </c>
      <c r="S5">
        <f>IF(COUNTIFS($A$2:A4,A5,$F$2:F4,F5,$I$2:I4,I5)&gt;0,"🔴 DUPLICADO EXACTO","")</f>
        <v/>
      </c>
      <c r="T5">
        <f>IF(AND(A5&lt;&gt;"",B5&lt;&gt;"",D5&lt;&gt;"",E5&lt;&gt;"",I5&gt;0),"✅ OK","❌ FALTA DATO")</f>
        <v/>
      </c>
    </row>
    <row r="6">
      <c r="A6" s="2" t="n">
        <v>45962</v>
      </c>
      <c r="B6" t="inlineStr">
        <is>
          <t>Apertura Inicial</t>
        </is>
      </c>
      <c r="C6" t="inlineStr">
        <is>
          <t>Ahorro</t>
        </is>
      </c>
      <c r="D6" t="inlineStr">
        <is>
          <t>EMPRESA</t>
        </is>
      </c>
      <c r="E6" t="inlineStr">
        <is>
          <t>BNCR Ahorro 1002335826</t>
        </is>
      </c>
      <c r="F6" t="inlineStr">
        <is>
          <t>Sistema</t>
        </is>
      </c>
      <c r="G6" t="inlineStr">
        <is>
          <t>Balance inicial ahorro Matrimonio</t>
        </is>
      </c>
      <c r="H6" t="inlineStr">
        <is>
          <t>APERTURA-005</t>
        </is>
      </c>
      <c r="I6" t="n">
        <v>1006.06</v>
      </c>
      <c r="J6">
        <f>I6*507</f>
        <v/>
      </c>
      <c r="K6">
        <f>IF(OR(B6="Factura Cliente",B6="Cobro Factura",B6="Depósito Bancario",B6="Inversión",B6="Dividendo",B6="Apertura Inicial"),"Ingreso","Egreso")</f>
        <v/>
      </c>
      <c r="L6" t="inlineStr">
        <is>
          <t>Cobrado</t>
        </is>
      </c>
      <c r="M6" t="inlineStr">
        <is>
          <t>MEDIA</t>
        </is>
      </c>
      <c r="P6" t="inlineStr">
        <is>
          <t>TRX-00006</t>
        </is>
      </c>
      <c r="Q6" s="2" t="n">
        <v>45969.18914699809</v>
      </c>
      <c r="R6" t="inlineStr">
        <is>
          <t>SISTEMA</t>
        </is>
      </c>
      <c r="S6">
        <f>IF(COUNTIFS($A$2:A5,A6,$F$2:F5,F6,$I$2:I5,I6)&gt;0,"🔴 DUPLICADO EXACTO","")</f>
        <v/>
      </c>
      <c r="T6">
        <f>IF(AND(A6&lt;&gt;"",B6&lt;&gt;"",D6&lt;&gt;"",E6&lt;&gt;"",I6&gt;0),"✅ OK","❌ FALTA DATO")</f>
        <v/>
      </c>
    </row>
    <row r="7">
      <c r="A7" s="2" t="n">
        <v>45962</v>
      </c>
      <c r="B7" t="inlineStr">
        <is>
          <t>Apertura Inicial</t>
        </is>
      </c>
      <c r="C7" t="inlineStr">
        <is>
          <t>Ahorro</t>
        </is>
      </c>
      <c r="D7" t="inlineStr">
        <is>
          <t>EMPRESA</t>
        </is>
      </c>
      <c r="E7" t="inlineStr">
        <is>
          <t>BNCR Ahorro 1002273441</t>
        </is>
      </c>
      <c r="F7" t="inlineStr">
        <is>
          <t>Sistema</t>
        </is>
      </c>
      <c r="G7" t="inlineStr">
        <is>
          <t>Balance inicial ahorro Impuestos Municipales</t>
        </is>
      </c>
      <c r="H7" t="inlineStr">
        <is>
          <t>APERTURA-006</t>
        </is>
      </c>
      <c r="I7" t="n">
        <v>2263.15</v>
      </c>
      <c r="J7">
        <f>I7*507</f>
        <v/>
      </c>
      <c r="K7">
        <f>IF(OR(B7="Factura Cliente",B7="Cobro Factura",B7="Depósito Bancario",B7="Inversión",B7="Dividendo",B7="Apertura Inicial"),"Ingreso","Egreso")</f>
        <v/>
      </c>
      <c r="L7" t="inlineStr">
        <is>
          <t>Cobrado</t>
        </is>
      </c>
      <c r="M7" t="inlineStr">
        <is>
          <t>MEDIA</t>
        </is>
      </c>
      <c r="P7" t="inlineStr">
        <is>
          <t>TRX-00007</t>
        </is>
      </c>
      <c r="Q7" s="2" t="n">
        <v>45969.18914699877</v>
      </c>
      <c r="R7" t="inlineStr">
        <is>
          <t>SISTEMA</t>
        </is>
      </c>
      <c r="S7">
        <f>IF(COUNTIFS($A$2:A6,A7,$F$2:F6,F7,$I$2:I6,I7)&gt;0,"🔴 DUPLICADO EXACTO","")</f>
        <v/>
      </c>
      <c r="T7">
        <f>IF(AND(A7&lt;&gt;"",B7&lt;&gt;"",D7&lt;&gt;"",E7&lt;&gt;"",I7&gt;0),"✅ OK","❌ FALTA DATO")</f>
        <v/>
      </c>
    </row>
    <row r="8">
      <c r="A8" s="2" t="n">
        <v>45962</v>
      </c>
      <c r="B8" t="inlineStr">
        <is>
          <t>Apertura Inicial</t>
        </is>
      </c>
      <c r="C8" t="inlineStr">
        <is>
          <t>Ahorro</t>
        </is>
      </c>
      <c r="D8" t="inlineStr">
        <is>
          <t>EMPRESA</t>
        </is>
      </c>
      <c r="E8" t="inlineStr">
        <is>
          <t>BNCR Ahorro 1002388223</t>
        </is>
      </c>
      <c r="F8" t="inlineStr">
        <is>
          <t>Sistema</t>
        </is>
      </c>
      <c r="G8" t="inlineStr">
        <is>
          <t>Balance inicial ahorro Black Friday</t>
        </is>
      </c>
      <c r="H8" t="inlineStr">
        <is>
          <t>APERTURA-007</t>
        </is>
      </c>
      <c r="I8" t="n">
        <v>225.43</v>
      </c>
      <c r="J8">
        <f>I8*507</f>
        <v/>
      </c>
      <c r="K8">
        <f>IF(OR(B8="Factura Cliente",B8="Cobro Factura",B8="Depósito Bancario",B8="Inversión",B8="Dividendo",B8="Apertura Inicial"),"Ingreso","Egreso")</f>
        <v/>
      </c>
      <c r="L8" t="inlineStr">
        <is>
          <t>Cobrado</t>
        </is>
      </c>
      <c r="M8" t="inlineStr">
        <is>
          <t>MEDIA</t>
        </is>
      </c>
      <c r="P8" t="inlineStr">
        <is>
          <t>TRX-00008</t>
        </is>
      </c>
      <c r="Q8" s="2" t="n">
        <v>45969.18914699943</v>
      </c>
      <c r="R8" t="inlineStr">
        <is>
          <t>SISTEMA</t>
        </is>
      </c>
      <c r="S8">
        <f>IF(COUNTIFS($A$2:A7,A8,$F$2:F7,F8,$I$2:I7,I8)&gt;0,"🔴 DUPLICADO EXACTO","")</f>
        <v/>
      </c>
      <c r="T8">
        <f>IF(AND(A8&lt;&gt;"",B8&lt;&gt;"",D8&lt;&gt;"",E8&lt;&gt;"",I8&gt;0),"✅ OK","❌ FALTA DATO")</f>
        <v/>
      </c>
    </row>
    <row r="9">
      <c r="A9" s="2" t="n">
        <v>45962</v>
      </c>
      <c r="B9" t="inlineStr">
        <is>
          <t>Apertura Inicial</t>
        </is>
      </c>
      <c r="C9" t="inlineStr">
        <is>
          <t>Ahorro</t>
        </is>
      </c>
      <c r="D9" t="inlineStr">
        <is>
          <t>EMPRESA</t>
        </is>
      </c>
      <c r="E9" t="inlineStr">
        <is>
          <t>BNCR Ahorro 17000002201</t>
        </is>
      </c>
      <c r="F9" t="inlineStr">
        <is>
          <t>Sistema</t>
        </is>
      </c>
      <c r="G9" t="inlineStr">
        <is>
          <t>Balance inicial ahorro Vehículo Nuevo</t>
        </is>
      </c>
      <c r="H9" t="inlineStr">
        <is>
          <t>APERTURA-008</t>
        </is>
      </c>
      <c r="I9" t="n">
        <v>4559.33</v>
      </c>
      <c r="J9">
        <f>I9*507</f>
        <v/>
      </c>
      <c r="K9">
        <f>IF(OR(B9="Factura Cliente",B9="Cobro Factura",B9="Depósito Bancario",B9="Inversión",B9="Dividendo",B9="Apertura Inicial"),"Ingreso","Egreso")</f>
        <v/>
      </c>
      <c r="L9" t="inlineStr">
        <is>
          <t>Cobrado</t>
        </is>
      </c>
      <c r="M9" t="inlineStr">
        <is>
          <t>MEDIA</t>
        </is>
      </c>
      <c r="P9" t="inlineStr">
        <is>
          <t>TRX-00009</t>
        </is>
      </c>
      <c r="Q9" s="2" t="n">
        <v>45969.18914700007</v>
      </c>
      <c r="R9" t="inlineStr">
        <is>
          <t>SISTEMA</t>
        </is>
      </c>
      <c r="S9">
        <f>IF(COUNTIFS($A$2:A8,A9,$F$2:F8,F9,$I$2:I8,I9)&gt;0,"🔴 DUPLICADO EXACTO","")</f>
        <v/>
      </c>
      <c r="T9">
        <f>IF(AND(A9&lt;&gt;"",B9&lt;&gt;"",D9&lt;&gt;"",E9&lt;&gt;"",I9&gt;0),"✅ OK","❌ FALTA DATO")</f>
        <v/>
      </c>
    </row>
    <row r="10">
      <c r="A10" s="2" t="n">
        <v>45962</v>
      </c>
      <c r="B10" t="inlineStr">
        <is>
          <t>Factura Cliente</t>
        </is>
      </c>
      <c r="C10" t="inlineStr">
        <is>
          <t>Servicios</t>
        </is>
      </c>
      <c r="D10" t="inlineStr">
        <is>
          <t>EMPRESA</t>
        </is>
      </c>
      <c r="E10" t="inlineStr">
        <is>
          <t>Promerica USD (40000003881774)</t>
        </is>
      </c>
      <c r="F10" t="inlineStr">
        <is>
          <t>VWR INTERNATIONAL LTDA</t>
        </is>
      </c>
      <c r="G10" t="inlineStr">
        <is>
          <t>Saldo pendiente VWR INTERNATIONAL LTDA</t>
        </is>
      </c>
      <c r="H10" t="inlineStr">
        <is>
          <t>APERTURA-AR-001</t>
        </is>
      </c>
      <c r="I10" t="n">
        <v>2800</v>
      </c>
      <c r="J10">
        <f>I10*507</f>
        <v/>
      </c>
      <c r="K10">
        <f>IF(OR(B10="Factura Cliente",B10="Cobro Factura",B10="Depósito Bancario",B10="Inversión",B10="Dividendo",B10="Apertura Inicial"),"Ingreso","Egreso")</f>
        <v/>
      </c>
      <c r="L10" t="inlineStr">
        <is>
          <t>Pendiente</t>
        </is>
      </c>
      <c r="M10" t="inlineStr">
        <is>
          <t>CRÍTICA</t>
        </is>
      </c>
      <c r="P10" t="inlineStr">
        <is>
          <t>TRX-00010</t>
        </is>
      </c>
      <c r="Q10" s="2" t="n">
        <v>45969.18914700082</v>
      </c>
      <c r="R10" t="inlineStr">
        <is>
          <t>SISTEMA</t>
        </is>
      </c>
      <c r="S10">
        <f>IF(COUNTIFS($A$2:A9,A10,$F$2:F9,F10,$I$2:I9,I10)&gt;0,"🔴 DUPLICADO EXACTO","")</f>
        <v/>
      </c>
      <c r="T10">
        <f>IF(AND(A10&lt;&gt;"",B10&lt;&gt;"",D10&lt;&gt;"",E10&lt;&gt;"",I10&gt;0),"✅ OK","❌ FALTA DATO")</f>
        <v/>
      </c>
    </row>
    <row r="11">
      <c r="A11" s="2" t="n">
        <v>45962</v>
      </c>
      <c r="B11" t="inlineStr">
        <is>
          <t>Factura Cliente</t>
        </is>
      </c>
      <c r="C11" t="inlineStr">
        <is>
          <t>Servicios</t>
        </is>
      </c>
      <c r="D11" t="inlineStr">
        <is>
          <t>EMPRESA</t>
        </is>
      </c>
      <c r="E11" t="inlineStr">
        <is>
          <t>Promerica USD (40000003881774)</t>
        </is>
      </c>
      <c r="F11" t="inlineStr">
        <is>
          <t>GRUPO ACCION COMERCIAL S.A.</t>
        </is>
      </c>
      <c r="G11" t="inlineStr">
        <is>
          <t>Saldo pendiente GRUPO ACCION COMERCIAL S.A.</t>
        </is>
      </c>
      <c r="H11" t="inlineStr">
        <is>
          <t>APERTURA-AR-002</t>
        </is>
      </c>
      <c r="I11" t="n">
        <v>1689.04</v>
      </c>
      <c r="J11">
        <f>I11*507</f>
        <v/>
      </c>
      <c r="K11">
        <f>IF(OR(B11="Factura Cliente",B11="Cobro Factura",B11="Depósito Bancario",B11="Inversión",B11="Dividendo",B11="Apertura Inicial"),"Ingreso","Egreso")</f>
        <v/>
      </c>
      <c r="L11" t="inlineStr">
        <is>
          <t>Pendiente</t>
        </is>
      </c>
      <c r="M11" t="inlineStr">
        <is>
          <t>CRÍTICA</t>
        </is>
      </c>
      <c r="P11" t="inlineStr">
        <is>
          <t>TRX-00011</t>
        </is>
      </c>
      <c r="Q11" s="2" t="n">
        <v>45969.18914700195</v>
      </c>
      <c r="R11" t="inlineStr">
        <is>
          <t>SISTEMA</t>
        </is>
      </c>
      <c r="S11">
        <f>IF(COUNTIFS($A$2:A10,A11,$F$2:F10,F11,$I$2:I10,I11)&gt;0,"🔴 DUPLICADO EXACTO","")</f>
        <v/>
      </c>
      <c r="T11">
        <f>IF(AND(A11&lt;&gt;"",B11&lt;&gt;"",D11&lt;&gt;"",E11&lt;&gt;"",I11&gt;0),"✅ OK","❌ FALTA DATO")</f>
        <v/>
      </c>
    </row>
    <row r="12">
      <c r="A12" s="2" t="n">
        <v>45962</v>
      </c>
      <c r="B12" t="inlineStr">
        <is>
          <t>Factura Cliente</t>
        </is>
      </c>
      <c r="C12" t="inlineStr">
        <is>
          <t>Servicios</t>
        </is>
      </c>
      <c r="D12" t="inlineStr">
        <is>
          <t>EMPRESA</t>
        </is>
      </c>
      <c r="E12" t="inlineStr">
        <is>
          <t>Promerica USD (40000003881774)</t>
        </is>
      </c>
      <c r="F12" t="inlineStr">
        <is>
          <t>ALMACEN FISCAL DEL PACIFICO ALFIPAC SOCIEDAD ANONIMA</t>
        </is>
      </c>
      <c r="G12" t="inlineStr">
        <is>
          <t>Saldo pendiente ALMACEN FISCAL DEL PACIFICO ALFIPAC SOCIEDAD ANONIMA</t>
        </is>
      </c>
      <c r="H12" t="inlineStr">
        <is>
          <t>APERTURA-AR-003</t>
        </is>
      </c>
      <c r="I12" t="n">
        <v>761.05</v>
      </c>
      <c r="J12">
        <f>I12*507</f>
        <v/>
      </c>
      <c r="K12">
        <f>IF(OR(B12="Factura Cliente",B12="Cobro Factura",B12="Depósito Bancario",B12="Inversión",B12="Dividendo",B12="Apertura Inicial"),"Ingreso","Egreso")</f>
        <v/>
      </c>
      <c r="L12" t="inlineStr">
        <is>
          <t>Pendiente</t>
        </is>
      </c>
      <c r="M12" t="inlineStr">
        <is>
          <t>ALTA</t>
        </is>
      </c>
      <c r="P12" t="inlineStr">
        <is>
          <t>TRX-00012</t>
        </is>
      </c>
      <c r="Q12" s="2" t="n">
        <v>45969.18914700308</v>
      </c>
      <c r="R12" t="inlineStr">
        <is>
          <t>SISTEMA</t>
        </is>
      </c>
      <c r="S12">
        <f>IF(COUNTIFS($A$2:A11,A12,$F$2:F11,F12,$I$2:I11,I12)&gt;0,"🔴 DUPLICADO EXACTO","")</f>
        <v/>
      </c>
      <c r="T12">
        <f>IF(AND(A12&lt;&gt;"",B12&lt;&gt;"",D12&lt;&gt;"",E12&lt;&gt;"",I12&gt;0),"✅ OK","❌ FALTA DATO")</f>
        <v/>
      </c>
    </row>
    <row r="13">
      <c r="A13" s="2" t="n">
        <v>45962</v>
      </c>
      <c r="B13" t="inlineStr">
        <is>
          <t>Factura Cliente</t>
        </is>
      </c>
      <c r="C13" t="inlineStr">
        <is>
          <t>Servicios</t>
        </is>
      </c>
      <c r="D13" t="inlineStr">
        <is>
          <t>EMPRESA</t>
        </is>
      </c>
      <c r="E13" t="inlineStr">
        <is>
          <t>Promerica USD (40000003881774)</t>
        </is>
      </c>
      <c r="F13" t="inlineStr">
        <is>
          <t>3-102-887892 SOCIEDAD DE RESPONSABILIDAD LIMITADA</t>
        </is>
      </c>
      <c r="G13" t="inlineStr">
        <is>
          <t>Saldo pendiente 3-102-887892 SOCIEDAD DE RESPONSABILIDAD LIMITADA</t>
        </is>
      </c>
      <c r="H13" t="inlineStr">
        <is>
          <t>APERTURA-AR-004</t>
        </is>
      </c>
      <c r="I13" t="n">
        <v>691.5599999999999</v>
      </c>
      <c r="J13">
        <f>I13*507</f>
        <v/>
      </c>
      <c r="K13">
        <f>IF(OR(B13="Factura Cliente",B13="Cobro Factura",B13="Depósito Bancario",B13="Inversión",B13="Dividendo",B13="Apertura Inicial"),"Ingreso","Egreso")</f>
        <v/>
      </c>
      <c r="L13" t="inlineStr">
        <is>
          <t>Pendiente</t>
        </is>
      </c>
      <c r="M13" t="inlineStr">
        <is>
          <t>ALTA</t>
        </is>
      </c>
      <c r="P13" t="inlineStr">
        <is>
          <t>TRX-00013</t>
        </is>
      </c>
      <c r="Q13" s="2" t="n">
        <v>45969.18914700426</v>
      </c>
      <c r="R13" t="inlineStr">
        <is>
          <t>SISTEMA</t>
        </is>
      </c>
      <c r="S13">
        <f>IF(COUNTIFS($A$2:A12,A13,$F$2:F12,F13,$I$2:I12,I13)&gt;0,"🔴 DUPLICADO EXACTO","")</f>
        <v/>
      </c>
      <c r="T13">
        <f>IF(AND(A13&lt;&gt;"",B13&lt;&gt;"",D13&lt;&gt;"",E13&lt;&gt;"",I13&gt;0),"✅ OK","❌ FALTA DATO")</f>
        <v/>
      </c>
    </row>
    <row r="14">
      <c r="A14" s="2" t="n">
        <v>45962</v>
      </c>
      <c r="B14" t="inlineStr">
        <is>
          <t>Factura Cliente</t>
        </is>
      </c>
      <c r="C14" t="inlineStr">
        <is>
          <t>Servicios</t>
        </is>
      </c>
      <c r="D14" t="inlineStr">
        <is>
          <t>EMPRESA</t>
        </is>
      </c>
      <c r="E14" t="inlineStr">
        <is>
          <t>Promerica USD (40000003881774)</t>
        </is>
      </c>
      <c r="F14" t="inlineStr">
        <is>
          <t>WAIPIO SOCIEDAD ANONIMA</t>
        </is>
      </c>
      <c r="G14" t="inlineStr">
        <is>
          <t>Saldo pendiente WAIPIO SOCIEDAD ANONIMA</t>
        </is>
      </c>
      <c r="H14" t="inlineStr">
        <is>
          <t>APERTURA-AR-005</t>
        </is>
      </c>
      <c r="I14" t="n">
        <v>687.27</v>
      </c>
      <c r="J14">
        <f>I14*507</f>
        <v/>
      </c>
      <c r="K14">
        <f>IF(OR(B14="Factura Cliente",B14="Cobro Factura",B14="Depósito Bancario",B14="Inversión",B14="Dividendo",B14="Apertura Inicial"),"Ingreso","Egreso")</f>
        <v/>
      </c>
      <c r="L14" t="inlineStr">
        <is>
          <t>Pendiente</t>
        </is>
      </c>
      <c r="M14" t="inlineStr">
        <is>
          <t>ALTA</t>
        </is>
      </c>
      <c r="P14" t="inlineStr">
        <is>
          <t>TRX-00014</t>
        </is>
      </c>
      <c r="Q14" s="2" t="n">
        <v>45969.18914700503</v>
      </c>
      <c r="R14" t="inlineStr">
        <is>
          <t>SISTEMA</t>
        </is>
      </c>
      <c r="S14">
        <f>IF(COUNTIFS($A$2:A13,A14,$F$2:F13,F14,$I$2:I13,I14)&gt;0,"🔴 DUPLICADO EXACTO","")</f>
        <v/>
      </c>
      <c r="T14">
        <f>IF(AND(A14&lt;&gt;"",B14&lt;&gt;"",D14&lt;&gt;"",E14&lt;&gt;"",I14&gt;0),"✅ OK","❌ FALTA DATO")</f>
        <v/>
      </c>
    </row>
    <row r="15">
      <c r="A15" s="2" t="n">
        <v>45962</v>
      </c>
      <c r="B15" t="inlineStr">
        <is>
          <t>Factura Cliente</t>
        </is>
      </c>
      <c r="C15" t="inlineStr">
        <is>
          <t>Servicios</t>
        </is>
      </c>
      <c r="D15" t="inlineStr">
        <is>
          <t>EMPRESA</t>
        </is>
      </c>
      <c r="E15" t="inlineStr">
        <is>
          <t>Promerica USD (40000003881774)</t>
        </is>
      </c>
      <c r="F15" t="inlineStr">
        <is>
          <t>CENTRO INTEGRAL DE ONCOLOGIA CIO SRL</t>
        </is>
      </c>
      <c r="G15" t="inlineStr">
        <is>
          <t>Saldo pendiente CENTRO INTEGRAL DE ONCOLOGIA CIO SRL</t>
        </is>
      </c>
      <c r="H15" t="inlineStr">
        <is>
          <t>APERTURA-AR-006</t>
        </is>
      </c>
      <c r="I15" t="n">
        <v>687.05</v>
      </c>
      <c r="J15">
        <f>I15*507</f>
        <v/>
      </c>
      <c r="K15">
        <f>IF(OR(B15="Factura Cliente",B15="Cobro Factura",B15="Depósito Bancario",B15="Inversión",B15="Dividendo",B15="Apertura Inicial"),"Ingreso","Egreso")</f>
        <v/>
      </c>
      <c r="L15" t="inlineStr">
        <is>
          <t>Pendiente</t>
        </is>
      </c>
      <c r="M15" t="inlineStr">
        <is>
          <t>ALTA</t>
        </is>
      </c>
      <c r="P15" t="inlineStr">
        <is>
          <t>TRX-00015</t>
        </is>
      </c>
      <c r="Q15" s="2" t="n">
        <v>45969.18914700623</v>
      </c>
      <c r="R15" t="inlineStr">
        <is>
          <t>SISTEMA</t>
        </is>
      </c>
      <c r="S15">
        <f>IF(COUNTIFS($A$2:A14,A15,$F$2:F14,F15,$I$2:I14,I15)&gt;0,"🔴 DUPLICADO EXACTO","")</f>
        <v/>
      </c>
      <c r="T15">
        <f>IF(AND(A15&lt;&gt;"",B15&lt;&gt;"",D15&lt;&gt;"",E15&lt;&gt;"",I15&gt;0),"✅ OK","❌ FALTA DATO")</f>
        <v/>
      </c>
    </row>
    <row r="16">
      <c r="A16" s="2" t="n">
        <v>45962</v>
      </c>
      <c r="B16" t="inlineStr">
        <is>
          <t>Factura Cliente</t>
        </is>
      </c>
      <c r="C16" t="inlineStr">
        <is>
          <t>Servicios</t>
        </is>
      </c>
      <c r="D16" t="inlineStr">
        <is>
          <t>EMPRESA</t>
        </is>
      </c>
      <c r="E16" t="inlineStr">
        <is>
          <t>Promerica USD (40000003881774)</t>
        </is>
      </c>
      <c r="F16" t="inlineStr">
        <is>
          <t>ORTODONCIA DE LA CRUZ</t>
        </is>
      </c>
      <c r="G16" t="inlineStr">
        <is>
          <t>Saldo pendiente ORTODONCIA DE LA CRUZ</t>
        </is>
      </c>
      <c r="H16" t="inlineStr">
        <is>
          <t>APERTURA-AR-007</t>
        </is>
      </c>
      <c r="I16" t="n">
        <v>494.5</v>
      </c>
      <c r="J16">
        <f>I16*507</f>
        <v/>
      </c>
      <c r="K16">
        <f>IF(OR(B16="Factura Cliente",B16="Cobro Factura",B16="Depósito Bancario",B16="Inversión",B16="Dividendo",B16="Apertura Inicial"),"Ingreso","Egreso")</f>
        <v/>
      </c>
      <c r="L16" t="inlineStr">
        <is>
          <t>Pendiente</t>
        </is>
      </c>
      <c r="M16" t="inlineStr">
        <is>
          <t>MEDIA</t>
        </is>
      </c>
      <c r="P16" t="inlineStr">
        <is>
          <t>TRX-00016</t>
        </is>
      </c>
      <c r="Q16" s="2" t="n">
        <v>45969.18914700689</v>
      </c>
      <c r="R16" t="inlineStr">
        <is>
          <t>SISTEMA</t>
        </is>
      </c>
      <c r="S16">
        <f>IF(COUNTIFS($A$2:A15,A16,$F$2:F15,F16,$I$2:I15,I16)&gt;0,"🔴 DUPLICADO EXACTO","")</f>
        <v/>
      </c>
      <c r="T16">
        <f>IF(AND(A16&lt;&gt;"",B16&lt;&gt;"",D16&lt;&gt;"",E16&lt;&gt;"",I16&gt;0),"✅ OK","❌ FALTA DATO")</f>
        <v/>
      </c>
    </row>
    <row r="17">
      <c r="A17" s="2" t="n">
        <v>45962</v>
      </c>
      <c r="B17" t="inlineStr">
        <is>
          <t>Factura Cliente</t>
        </is>
      </c>
      <c r="C17" t="inlineStr">
        <is>
          <t>Servicios</t>
        </is>
      </c>
      <c r="D17" t="inlineStr">
        <is>
          <t>EMPRESA</t>
        </is>
      </c>
      <c r="E17" t="inlineStr">
        <is>
          <t>Promerica USD (40000003881774)</t>
        </is>
      </c>
      <c r="F17" t="inlineStr">
        <is>
          <t>GLOBAL AUTOMOTRIZ DE COSTA RICA GACR SOCIEDAD ANONIMA</t>
        </is>
      </c>
      <c r="G17" t="inlineStr">
        <is>
          <t>Saldo pendiente GLOBAL AUTOMOTRIZ DE COSTA RICA GACR SOCIEDAD ANONIMA</t>
        </is>
      </c>
      <c r="H17" t="inlineStr">
        <is>
          <t>APERTURA-AR-008</t>
        </is>
      </c>
      <c r="I17" t="n">
        <v>439.61</v>
      </c>
      <c r="J17">
        <f>I17*507</f>
        <v/>
      </c>
      <c r="K17">
        <f>IF(OR(B17="Factura Cliente",B17="Cobro Factura",B17="Depósito Bancario",B17="Inversión",B17="Dividendo",B17="Apertura Inicial"),"Ingreso","Egreso")</f>
        <v/>
      </c>
      <c r="L17" t="inlineStr">
        <is>
          <t>Pendiente</t>
        </is>
      </c>
      <c r="M17" t="inlineStr">
        <is>
          <t>MEDIA</t>
        </is>
      </c>
      <c r="P17" t="inlineStr">
        <is>
          <t>TRX-00017</t>
        </is>
      </c>
      <c r="Q17" s="2" t="n">
        <v>45969.1891470075</v>
      </c>
      <c r="R17" t="inlineStr">
        <is>
          <t>SISTEMA</t>
        </is>
      </c>
      <c r="S17">
        <f>IF(COUNTIFS($A$2:A16,A17,$F$2:F16,F17,$I$2:I16,I17)&gt;0,"🔴 DUPLICADO EXACTO","")</f>
        <v/>
      </c>
      <c r="T17">
        <f>IF(AND(A17&lt;&gt;"",B17&lt;&gt;"",D17&lt;&gt;"",E17&lt;&gt;"",I17&gt;0),"✅ OK","❌ FALTA DATO")</f>
        <v/>
      </c>
    </row>
    <row r="18">
      <c r="A18" s="2" t="n">
        <v>45962</v>
      </c>
      <c r="B18" t="inlineStr">
        <is>
          <t>Factura Cliente</t>
        </is>
      </c>
      <c r="C18" t="inlineStr">
        <is>
          <t>Servicios</t>
        </is>
      </c>
      <c r="D18" t="inlineStr">
        <is>
          <t>EMPRESA</t>
        </is>
      </c>
      <c r="E18" t="inlineStr">
        <is>
          <t>Promerica USD (40000003881774)</t>
        </is>
      </c>
      <c r="F18" t="inlineStr">
        <is>
          <t>SOLUSA CONSOLIDATORS AND FORWARDIG, S.A.</t>
        </is>
      </c>
      <c r="G18" t="inlineStr">
        <is>
          <t>Saldo pendiente SOLUSA CONSOLIDATORS AND FORWARDIG, S.A.</t>
        </is>
      </c>
      <c r="H18" t="inlineStr">
        <is>
          <t>APERTURA-AR-009</t>
        </is>
      </c>
      <c r="I18" t="n">
        <v>378.35</v>
      </c>
      <c r="J18">
        <f>I18*507</f>
        <v/>
      </c>
      <c r="K18">
        <f>IF(OR(B18="Factura Cliente",B18="Cobro Factura",B18="Depósito Bancario",B18="Inversión",B18="Dividendo",B18="Apertura Inicial"),"Ingreso","Egreso")</f>
        <v/>
      </c>
      <c r="L18" t="inlineStr">
        <is>
          <t>Pendiente</t>
        </is>
      </c>
      <c r="M18" t="inlineStr">
        <is>
          <t>MEDIA</t>
        </is>
      </c>
      <c r="P18" t="inlineStr">
        <is>
          <t>TRX-00018</t>
        </is>
      </c>
      <c r="Q18" s="2" t="n">
        <v>45969.18914700822</v>
      </c>
      <c r="R18" t="inlineStr">
        <is>
          <t>SISTEMA</t>
        </is>
      </c>
      <c r="S18">
        <f>IF(COUNTIFS($A$2:A17,A18,$F$2:F17,F18,$I$2:I17,I18)&gt;0,"🔴 DUPLICADO EXACTO","")</f>
        <v/>
      </c>
      <c r="T18">
        <f>IF(AND(A18&lt;&gt;"",B18&lt;&gt;"",D18&lt;&gt;"",E18&lt;&gt;"",I18&gt;0),"✅ OK","❌ FALTA DATO")</f>
        <v/>
      </c>
    </row>
    <row r="19">
      <c r="A19" s="2" t="n">
        <v>45962</v>
      </c>
      <c r="B19" t="inlineStr">
        <is>
          <t>Factura Cliente</t>
        </is>
      </c>
      <c r="C19" t="inlineStr">
        <is>
          <t>Servicios</t>
        </is>
      </c>
      <c r="D19" t="inlineStr">
        <is>
          <t>EMPRESA</t>
        </is>
      </c>
      <c r="E19" t="inlineStr">
        <is>
          <t>Promerica USD (40000003881774)</t>
        </is>
      </c>
      <c r="F19" t="inlineStr">
        <is>
          <t>CEMSO</t>
        </is>
      </c>
      <c r="G19" t="inlineStr">
        <is>
          <t>Saldo pendiente CEMSO</t>
        </is>
      </c>
      <c r="H19" t="inlineStr">
        <is>
          <t>APERTURA-AR-010</t>
        </is>
      </c>
      <c r="I19" t="n">
        <v>333.92</v>
      </c>
      <c r="J19">
        <f>I19*507</f>
        <v/>
      </c>
      <c r="K19">
        <f>IF(OR(B19="Factura Cliente",B19="Cobro Factura",B19="Depósito Bancario",B19="Inversión",B19="Dividendo",B19="Apertura Inicial"),"Ingreso","Egreso")</f>
        <v/>
      </c>
      <c r="L19" t="inlineStr">
        <is>
          <t>Pendiente</t>
        </is>
      </c>
      <c r="M19" t="inlineStr">
        <is>
          <t>MEDIA</t>
        </is>
      </c>
      <c r="P19" t="inlineStr">
        <is>
          <t>TRX-00019</t>
        </is>
      </c>
      <c r="Q19" s="2" t="n">
        <v>45969.18914700889</v>
      </c>
      <c r="R19" t="inlineStr">
        <is>
          <t>SISTEMA</t>
        </is>
      </c>
      <c r="S19">
        <f>IF(COUNTIFS($A$2:A18,A19,$F$2:F18,F19,$I$2:I18,I19)&gt;0,"🔴 DUPLICADO EXACTO","")</f>
        <v/>
      </c>
      <c r="T19">
        <f>IF(AND(A19&lt;&gt;"",B19&lt;&gt;"",D19&lt;&gt;"",E19&lt;&gt;"",I19&gt;0),"✅ OK","❌ FALTA DATO")</f>
        <v/>
      </c>
    </row>
    <row r="20">
      <c r="A20" s="2" t="n">
        <v>45929</v>
      </c>
      <c r="B20" t="inlineStr">
        <is>
          <t>Factura Proveedor</t>
        </is>
      </c>
      <c r="C20" t="inlineStr">
        <is>
          <t>Compras</t>
        </is>
      </c>
      <c r="D20" t="inlineStr">
        <is>
          <t>EMPRESA</t>
        </is>
      </c>
      <c r="E20" t="inlineStr">
        <is>
          <t>Promerica USD (40000003881774)</t>
        </is>
      </c>
      <c r="F20" t="inlineStr">
        <is>
          <t>Intcomex</t>
        </is>
      </c>
      <c r="G20" t="inlineStr">
        <is>
          <t>Factura 2502060 - VENCIDA</t>
        </is>
      </c>
      <c r="H20" t="inlineStr">
        <is>
          <t>APERTURA-AP-001</t>
        </is>
      </c>
      <c r="I20" t="n">
        <v>410.09</v>
      </c>
      <c r="J20">
        <f>I20*507</f>
        <v/>
      </c>
      <c r="K20">
        <f>IF(OR(B20="Factura Cliente",B20="Cobro Factura",B20="Depósito Bancario",B20="Inversión",B20="Dividendo",B20="Apertura Inicial"),"Ingreso","Egreso")</f>
        <v/>
      </c>
      <c r="L20" t="inlineStr">
        <is>
          <t>Pendiente</t>
        </is>
      </c>
      <c r="M20" t="inlineStr">
        <is>
          <t>CRÍTICA</t>
        </is>
      </c>
      <c r="N20" s="2" t="n">
        <v>45961</v>
      </c>
      <c r="P20" t="inlineStr">
        <is>
          <t>TRX-00020</t>
        </is>
      </c>
      <c r="Q20" s="2" t="n">
        <v>45969.18914701013</v>
      </c>
      <c r="R20" t="inlineStr">
        <is>
          <t>SISTEMA</t>
        </is>
      </c>
      <c r="S20">
        <f>IF(COUNTIFS($A$2:A19,A20,$F$2:F19,F20,$I$2:I19,I20)&gt;0,"🔴 DUPLICADO EXACTO","")</f>
        <v/>
      </c>
      <c r="T20">
        <f>IF(AND(A20&lt;&gt;"",B20&lt;&gt;"",D20&lt;&gt;"",E20&lt;&gt;"",I20&gt;0),"✅ OK","❌ FALTA DATO")</f>
        <v/>
      </c>
    </row>
    <row r="21">
      <c r="A21" s="2" t="n">
        <v>45935</v>
      </c>
      <c r="B21" t="inlineStr">
        <is>
          <t>Factura Proveedor</t>
        </is>
      </c>
      <c r="C21" t="inlineStr">
        <is>
          <t>Compras</t>
        </is>
      </c>
      <c r="D21" t="inlineStr">
        <is>
          <t>EMPRESA</t>
        </is>
      </c>
      <c r="E21" t="inlineStr">
        <is>
          <t>Promerica USD (40000003881774)</t>
        </is>
      </c>
      <c r="F21" t="inlineStr">
        <is>
          <t>SEA Global</t>
        </is>
      </c>
      <c r="G21" t="inlineStr">
        <is>
          <t>Factura pendiente - VENCIDA</t>
        </is>
      </c>
      <c r="H21" t="inlineStr">
        <is>
          <t>APERTURA-AP-002</t>
        </is>
      </c>
      <c r="I21" t="n">
        <v>44.07</v>
      </c>
      <c r="J21">
        <f>I21*507</f>
        <v/>
      </c>
      <c r="K21">
        <f>IF(OR(B21="Factura Cliente",B21="Cobro Factura",B21="Depósito Bancario",B21="Inversión",B21="Dividendo",B21="Apertura Inicial"),"Ingreso","Egreso")</f>
        <v/>
      </c>
      <c r="L21" t="inlineStr">
        <is>
          <t>Pendiente</t>
        </is>
      </c>
      <c r="M21" t="inlineStr">
        <is>
          <t>CRÍTICA</t>
        </is>
      </c>
      <c r="N21" s="2" t="n">
        <v>45961</v>
      </c>
      <c r="P21" t="inlineStr">
        <is>
          <t>TRX-00021</t>
        </is>
      </c>
      <c r="Q21" s="2" t="n">
        <v>45969.18914701087</v>
      </c>
      <c r="R21" t="inlineStr">
        <is>
          <t>SISTEMA</t>
        </is>
      </c>
      <c r="S21">
        <f>IF(COUNTIFS($A$2:A20,A21,$F$2:F20,F21,$I$2:I20,I21)&gt;0,"🔴 DUPLICADO EXACTO","")</f>
        <v/>
      </c>
      <c r="T21">
        <f>IF(AND(A21&lt;&gt;"",B21&lt;&gt;"",D21&lt;&gt;"",E21&lt;&gt;"",I21&gt;0),"✅ OK","❌ FALTA DATO")</f>
        <v/>
      </c>
    </row>
    <row r="22">
      <c r="A22" s="2" t="n">
        <v>45962</v>
      </c>
      <c r="B22" t="inlineStr">
        <is>
          <t>Apertura Inicial</t>
        </is>
      </c>
      <c r="C22" t="inlineStr">
        <is>
          <t>Tarjeta Crédito</t>
        </is>
      </c>
      <c r="D22" t="inlineStr">
        <is>
          <t>EMPRESA</t>
        </is>
      </c>
      <c r="E22" t="inlineStr">
        <is>
          <t>TC BNCR 3519</t>
        </is>
      </c>
      <c r="F22" t="inlineStr">
        <is>
          <t>BNCR</t>
        </is>
      </c>
      <c r="G22" t="inlineStr">
        <is>
          <t>Saldo tarjeta BNCR - VENCIDA</t>
        </is>
      </c>
      <c r="H22" t="inlineStr">
        <is>
          <t>APERTURA-TC-001</t>
        </is>
      </c>
      <c r="I22" t="n">
        <v>-1192.44</v>
      </c>
      <c r="J22">
        <f>I22*507</f>
        <v/>
      </c>
      <c r="K22">
        <f>IF(OR(B22="Factura Cliente",B22="Cobro Factura",B22="Depósito Bancario",B22="Inversión",B22="Dividendo",B22="Apertura Inicial"),"Ingreso","Egreso")</f>
        <v/>
      </c>
      <c r="L22" t="inlineStr">
        <is>
          <t>Pendiente</t>
        </is>
      </c>
      <c r="M22" t="inlineStr">
        <is>
          <t>CRÍTICA</t>
        </is>
      </c>
      <c r="P22" t="inlineStr">
        <is>
          <t>TRX-00022</t>
        </is>
      </c>
      <c r="Q22" s="2" t="n">
        <v>45969.18914701159</v>
      </c>
      <c r="R22" t="inlineStr">
        <is>
          <t>SISTEMA</t>
        </is>
      </c>
      <c r="S22">
        <f>IF(COUNTIFS($A$2:A21,A22,$F$2:F21,F22,$I$2:I21,I22)&gt;0,"🔴 DUPLICADO EXACTO","")</f>
        <v/>
      </c>
      <c r="T22">
        <f>IF(AND(A22&lt;&gt;"",B22&lt;&gt;"",D22&lt;&gt;"",E22&lt;&gt;"",I22&gt;0),"✅ OK","❌ FALTA DATO")</f>
        <v/>
      </c>
    </row>
    <row r="23">
      <c r="A23" s="2" t="n">
        <v>45962</v>
      </c>
      <c r="B23" t="inlineStr">
        <is>
          <t>Apertura Inicial</t>
        </is>
      </c>
      <c r="C23" t="inlineStr">
        <is>
          <t>Tarjeta Crédito</t>
        </is>
      </c>
      <c r="D23" t="inlineStr">
        <is>
          <t>EMPRESA</t>
        </is>
      </c>
      <c r="E23" t="inlineStr">
        <is>
          <t>TC BNCR 9837</t>
        </is>
      </c>
      <c r="F23" t="inlineStr">
        <is>
          <t>BNCR</t>
        </is>
      </c>
      <c r="G23" t="inlineStr">
        <is>
          <t>Saldo tarjeta BNCR - VENCIDA</t>
        </is>
      </c>
      <c r="H23" t="inlineStr">
        <is>
          <t>APERTURA-TC-002</t>
        </is>
      </c>
      <c r="I23" t="n">
        <v>-5779.4</v>
      </c>
      <c r="J23">
        <f>I23*507</f>
        <v/>
      </c>
      <c r="K23">
        <f>IF(OR(B23="Factura Cliente",B23="Cobro Factura",B23="Depósito Bancario",B23="Inversión",B23="Dividendo",B23="Apertura Inicial"),"Ingreso","Egreso")</f>
        <v/>
      </c>
      <c r="L23" t="inlineStr">
        <is>
          <t>Pendiente</t>
        </is>
      </c>
      <c r="M23" t="inlineStr">
        <is>
          <t>CRÍTICA</t>
        </is>
      </c>
      <c r="P23" t="inlineStr">
        <is>
          <t>TRX-00023</t>
        </is>
      </c>
      <c r="Q23" s="2" t="n">
        <v>45969.18914701258</v>
      </c>
      <c r="R23" t="inlineStr">
        <is>
          <t>SISTEMA</t>
        </is>
      </c>
      <c r="S23">
        <f>IF(COUNTIFS($A$2:A22,A23,$F$2:F22,F23,$I$2:I22,I23)&gt;0,"🔴 DUPLICADO EXACTO","")</f>
        <v/>
      </c>
      <c r="T23">
        <f>IF(AND(A23&lt;&gt;"",B23&lt;&gt;"",D23&lt;&gt;"",E23&lt;&gt;"",I23&gt;0),"✅ OK","❌ FALTA DATO")</f>
        <v/>
      </c>
    </row>
    <row r="24">
      <c r="A24" s="2" t="n">
        <v>45962</v>
      </c>
      <c r="B24" t="inlineStr">
        <is>
          <t>Apertura Inicial</t>
        </is>
      </c>
      <c r="C24" t="inlineStr">
        <is>
          <t>Tarjeta Crédito</t>
        </is>
      </c>
      <c r="D24" t="inlineStr">
        <is>
          <t>EMPRESA</t>
        </is>
      </c>
      <c r="E24" t="inlineStr">
        <is>
          <t>TC BNCR 6386</t>
        </is>
      </c>
      <c r="F24" t="inlineStr">
        <is>
          <t>BNCR</t>
        </is>
      </c>
      <c r="G24" t="inlineStr">
        <is>
          <t>Saldo tarjeta BNCR - VENCIDA</t>
        </is>
      </c>
      <c r="H24" t="inlineStr">
        <is>
          <t>APERTURA-TC-003</t>
        </is>
      </c>
      <c r="I24" t="n">
        <v>-591.7</v>
      </c>
      <c r="J24">
        <f>I24*507</f>
        <v/>
      </c>
      <c r="K24">
        <f>IF(OR(B24="Factura Cliente",B24="Cobro Factura",B24="Depósito Bancario",B24="Inversión",B24="Dividendo",B24="Apertura Inicial"),"Ingreso","Egreso")</f>
        <v/>
      </c>
      <c r="L24" t="inlineStr">
        <is>
          <t>Pendiente</t>
        </is>
      </c>
      <c r="M24" t="inlineStr">
        <is>
          <t>CRÍTICA</t>
        </is>
      </c>
      <c r="P24" t="inlineStr">
        <is>
          <t>TRX-00024</t>
        </is>
      </c>
      <c r="Q24" s="2" t="n">
        <v>45969.18914701368</v>
      </c>
      <c r="R24" t="inlineStr">
        <is>
          <t>SISTEMA</t>
        </is>
      </c>
      <c r="S24">
        <f>IF(COUNTIFS($A$2:A23,A24,$F$2:F23,F24,$I$2:I23,I24)&gt;0,"🔴 DUPLICADO EXACTO","")</f>
        <v/>
      </c>
      <c r="T24">
        <f>IF(AND(A24&lt;&gt;"",B24&lt;&gt;"",D24&lt;&gt;"",E24&lt;&gt;"",I24&gt;0),"✅ OK","❌ FALTA DATO")</f>
        <v/>
      </c>
    </row>
    <row r="25">
      <c r="A25" s="2" t="n">
        <v>45962</v>
      </c>
      <c r="B25" t="inlineStr">
        <is>
          <t>Apertura Inicial</t>
        </is>
      </c>
      <c r="C25" t="inlineStr">
        <is>
          <t>Tarjeta Crédito</t>
        </is>
      </c>
      <c r="D25" t="inlineStr">
        <is>
          <t>EMPRESA</t>
        </is>
      </c>
      <c r="E25" t="inlineStr">
        <is>
          <t>TC BNCR 8759</t>
        </is>
      </c>
      <c r="F25" t="inlineStr">
        <is>
          <t>BNCR</t>
        </is>
      </c>
      <c r="G25" t="inlineStr">
        <is>
          <t>Saldo tarjeta BNCR - VENCIDA</t>
        </is>
      </c>
      <c r="H25" t="inlineStr">
        <is>
          <t>APERTURA-TC-004</t>
        </is>
      </c>
      <c r="I25" t="n">
        <v>-5731.48</v>
      </c>
      <c r="J25">
        <f>I25*507</f>
        <v/>
      </c>
      <c r="K25">
        <f>IF(OR(B25="Factura Cliente",B25="Cobro Factura",B25="Depósito Bancario",B25="Inversión",B25="Dividendo",B25="Apertura Inicial"),"Ingreso","Egreso")</f>
        <v/>
      </c>
      <c r="L25" t="inlineStr">
        <is>
          <t>Pendiente</t>
        </is>
      </c>
      <c r="M25" t="inlineStr">
        <is>
          <t>CRÍTICA</t>
        </is>
      </c>
      <c r="P25" t="inlineStr">
        <is>
          <t>TRX-00025</t>
        </is>
      </c>
      <c r="Q25" s="2" t="n">
        <v>45969.18914701437</v>
      </c>
      <c r="R25" t="inlineStr">
        <is>
          <t>SISTEMA</t>
        </is>
      </c>
      <c r="S25">
        <f>IF(COUNTIFS($A$2:A24,A25,$F$2:F24,F25,$I$2:I24,I25)&gt;0,"🔴 DUPLICADO EXACTO","")</f>
        <v/>
      </c>
      <c r="T25">
        <f>IF(AND(A25&lt;&gt;"",B25&lt;&gt;"",D25&lt;&gt;"",E25&lt;&gt;"",I25&gt;0),"✅ OK","❌ FALTA DATO")</f>
        <v/>
      </c>
    </row>
    <row r="26">
      <c r="A26" s="2" t="n">
        <v>45962</v>
      </c>
      <c r="B26" t="inlineStr">
        <is>
          <t>Apertura Inicial</t>
        </is>
      </c>
      <c r="C26" t="inlineStr">
        <is>
          <t>Tarjeta Crédito</t>
        </is>
      </c>
      <c r="D26" t="inlineStr">
        <is>
          <t>EMPRESA</t>
        </is>
      </c>
      <c r="E26" t="inlineStr">
        <is>
          <t>TC BAC BAC</t>
        </is>
      </c>
      <c r="F26" t="inlineStr">
        <is>
          <t>BAC</t>
        </is>
      </c>
      <c r="G26" t="inlineStr">
        <is>
          <t>Saldo tarjeta BAC - Activa</t>
        </is>
      </c>
      <c r="H26" t="inlineStr">
        <is>
          <t>APERTURA-TC-005</t>
        </is>
      </c>
      <c r="I26" t="n">
        <v>-3087.67</v>
      </c>
      <c r="J26">
        <f>I26*507</f>
        <v/>
      </c>
      <c r="K26">
        <f>IF(OR(B26="Factura Cliente",B26="Cobro Factura",B26="Depósito Bancario",B26="Inversión",B26="Dividendo",B26="Apertura Inicial"),"Ingreso","Egreso")</f>
        <v/>
      </c>
      <c r="L26" t="inlineStr">
        <is>
          <t>Pendiente</t>
        </is>
      </c>
      <c r="M26" t="inlineStr">
        <is>
          <t>ALTA</t>
        </is>
      </c>
      <c r="P26" t="inlineStr">
        <is>
          <t>TRX-00026</t>
        </is>
      </c>
      <c r="Q26" s="2" t="n">
        <v>45969.18914701502</v>
      </c>
      <c r="R26" t="inlineStr">
        <is>
          <t>SISTEMA</t>
        </is>
      </c>
      <c r="S26">
        <f>IF(COUNTIFS($A$2:A25,A26,$F$2:F25,F26,$I$2:I25,I26)&gt;0,"🔴 DUPLICADO EXACTO","")</f>
        <v/>
      </c>
      <c r="T26">
        <f>IF(AND(A26&lt;&gt;"",B26&lt;&gt;"",D26&lt;&gt;"",E26&lt;&gt;"",I26&gt;0),"✅ OK","❌ FALTA DATO")</f>
        <v/>
      </c>
    </row>
  </sheetData>
  <conditionalFormatting sqref="M2:M10000">
    <cfRule type="cellIs" priority="1" operator="equal" dxfId="0">
      <formula>"CRÍTICA"</formula>
    </cfRule>
    <cfRule type="cellIs" priority="2" operator="equal" dxfId="1">
      <formula>"ALTA"</formula>
    </cfRule>
  </conditionalFormatting>
  <conditionalFormatting sqref="L2:L10000">
    <cfRule type="cellIs" priority="3" operator="equal" dxfId="2">
      <formula>"Pendiente"</formula>
    </cfRule>
    <cfRule type="cellIs" priority="4" operator="equal" dxfId="3">
      <formula>"Cobrado"</formula>
    </cfRule>
  </conditionalFormatting>
  <conditionalFormatting sqref="S2:S10000">
    <cfRule type="cellIs" priority="5" operator="containsText" dxfId="4">
      <formula>"DUPLICADO"</formula>
    </cfRule>
  </conditionalFormatting>
  <dataValidations count="5">
    <dataValidation sqref="B2:B10000" showDropDown="0" showInputMessage="0" showErrorMessage="0" allowBlank="0" errorTitle="Tipo inválido" error="Seleccione un tipo válido de la lista" type="list">
      <formula1>"Apertura Inicial,Factura Cliente,Cobro Factura,Factura Proveedor,Pago Factura,Depósito Bancario,Retiro Efectivo,Transferencia Bancaria,Gasto Empresa,Gasto Personal,Pago Tarjeta Crédito,Pago Servicio,Inversión,Dividendo,Ajuste"</formula1>
    </dataValidation>
    <dataValidation sqref="D2:D10000" showDropDown="0" showInputMessage="0" showErrorMessage="0" allowBlank="0" errorTitle="Entidad inválida" error="Seleccione EMPRESA o PERSONAL ALVARO" type="list">
      <formula1>"EMPRESA,PERSONAL ALVARO"</formula1>
    </dataValidation>
    <dataValidation sqref="E2:E10000" showDropDown="0" showInputMessage="0" showErrorMessage="0" allowBlank="0" errorTitle="Cuenta inválida" error="Seleccione una cuenta válida" type="list">
      <formula1>"Promerica USD (40000003881774),Promerica CRC (10000003881708),BNCR USD (601066-4),BNCR CRC (188618-3),BNCR Ahorro 1002335826,BNCR Ahorro 1002273441,BNCR Ahorro 1002388223,BNCR Ahorro 17000002201,TC BNCR 3519,TC BNCR 9837,TC BNCR 6386,TC BNCR 8759,TC BAC,Efectivo"</formula1>
    </dataValidation>
    <dataValidation sqref="L2:L10000" showDropDown="0" showInputMessage="0" showErrorMessage="0" allowBlank="0" errorTitle="Estado inválido" error="Seleccione un estado válido" type="list">
      <formula1>"Pendiente,Cobrado,Pagado,Cancelado"</formula1>
    </dataValidation>
    <dataValidation sqref="M2:M10000" showDropDown="0" showInputMessage="0" showErrorMessage="0" allowBlank="0" errorTitle="Prioridad inválida" error="Seleccione una prioridad válida" type="list">
      <formula1>"CRÍTICA,ALTA,MEDIA,BAJA"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DASHBOARD FINANCIERO</t>
        </is>
      </c>
    </row>
    <row r="3">
      <c r="A3" t="inlineStr">
        <is>
          <t>Métrica</t>
        </is>
      </c>
      <c r="B3" t="inlineStr">
        <is>
          <t>Valor USD</t>
        </is>
      </c>
      <c r="C3" t="inlineStr">
        <is>
          <t>Valor CRC</t>
        </is>
      </c>
      <c r="D3" t="inlineStr">
        <is>
          <t>Estado</t>
        </is>
      </c>
    </row>
    <row r="4">
      <c r="A4" t="inlineStr">
        <is>
          <t>Efectivo Total</t>
        </is>
      </c>
      <c r="B4" s="4">
        <f>SUMIFS(TRANSACCIONES!$I:$I,TRANSACCIONES!$C:$C,"Efectivo",TRANSACCIONES!$L:$L,"Cobrado")</f>
        <v/>
      </c>
      <c r="C4" s="5">
        <f>B4*507</f>
        <v/>
      </c>
    </row>
    <row r="5">
      <c r="A5" t="inlineStr">
        <is>
          <t>Cuentas por Cobrar</t>
        </is>
      </c>
      <c r="B5" s="4">
        <f>SUMIFS(TRANSACCIONES!$I:$I,TRANSACCIONES!$B:$B,"Factura Cliente",TRANSACCIONES!$L:$L,"Pendiente")</f>
        <v/>
      </c>
      <c r="C5" s="5">
        <f>B5*507</f>
        <v/>
      </c>
    </row>
    <row r="6">
      <c r="A6" t="inlineStr">
        <is>
          <t>Cuentas por Pagar</t>
        </is>
      </c>
      <c r="B6" s="4">
        <f>SUMIFS(TRANSACCIONES!$I:$I,TRANSACCIONES!$B:$B,"Factura Proveedor",TRANSACCIONES!$L:$L,"Pendiente")</f>
        <v/>
      </c>
      <c r="C6" s="5">
        <f>B6*507</f>
        <v/>
      </c>
    </row>
    <row r="7">
      <c r="A7" t="inlineStr">
        <is>
          <t>Tarjetas Crédito</t>
        </is>
      </c>
      <c r="B7" s="4">
        <f>SUMIFS(TRANSACCIONES!$I:$I,TRANSACCIONES!$C:$C,"Tarjeta Crédito")</f>
        <v/>
      </c>
      <c r="C7" s="5">
        <f>B7*507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5C3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ESTADO DE EFECTIVO</t>
        </is>
      </c>
    </row>
    <row r="2">
      <c r="A2" s="7" t="inlineStr">
        <is>
          <t>Fecha</t>
        </is>
      </c>
      <c r="B2" s="7" t="inlineStr">
        <is>
          <t>Concepto</t>
        </is>
      </c>
      <c r="C2" s="7" t="inlineStr">
        <is>
          <t>Cuenta</t>
        </is>
      </c>
      <c r="D2" s="7" t="inlineStr">
        <is>
          <t>Ingreso</t>
        </is>
      </c>
      <c r="E2" s="7" t="inlineStr">
        <is>
          <t>Egreso</t>
        </is>
      </c>
      <c r="F2" s="7" t="inlineStr">
        <is>
          <t>Balance</t>
        </is>
      </c>
    </row>
    <row r="3">
      <c r="A3">
        <f>TRANSACCIONES!A2</f>
        <v/>
      </c>
      <c r="B3">
        <f>TRANSACCIONES!G2</f>
        <v/>
      </c>
      <c r="C3">
        <f>TRANSACCIONES!E2</f>
        <v/>
      </c>
      <c r="D3">
        <f>IF(TRANSACCIONES!K2="Ingreso",TRANSACCIONES!I2,"")</f>
        <v/>
      </c>
      <c r="E3">
        <f>IF(TRANSACCIONES!K2="Egreso",TRANSACCIONES!I2,"")</f>
        <v/>
      </c>
      <c r="F3">
        <f>SUM(D3:D3)-SUM(E3:E3)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5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CUENTAS POR COBRAR</t>
        </is>
      </c>
    </row>
    <row r="2">
      <c r="A2" s="7" t="inlineStr">
        <is>
          <t>Cliente</t>
        </is>
      </c>
      <c r="B2" s="7" t="inlineStr">
        <is>
          <t>Factura</t>
        </is>
      </c>
      <c r="C2" s="7" t="inlineStr">
        <is>
          <t>Fecha</t>
        </is>
      </c>
      <c r="D2" s="7" t="inlineStr">
        <is>
          <t>Monto</t>
        </is>
      </c>
      <c r="E2" s="7" t="inlineStr">
        <is>
          <t>Estado</t>
        </is>
      </c>
      <c r="F2" s="7" t="inlineStr">
        <is>
          <t>Prioridad</t>
        </is>
      </c>
      <c r="G2" s="7" t="inlineStr">
        <is>
          <t>Días Mora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5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CUENTAS POR PAGAR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5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TARJETAS DE CRÉDITO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5C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CONCILIACIÓN BANCARIA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5C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LOG DE AUDITORÍA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5C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HEALTH CHECK DEL SISTEMA</t>
        </is>
      </c>
    </row>
    <row r="3">
      <c r="A3" t="inlineStr">
        <is>
          <t>Check</t>
        </is>
      </c>
      <c r="B3" t="inlineStr">
        <is>
          <t>Estado</t>
        </is>
      </c>
      <c r="C3" t="inlineStr">
        <is>
          <t>Detalles</t>
        </is>
      </c>
    </row>
    <row r="4">
      <c r="A4" t="inlineStr">
        <is>
          <t>Fórmulas intactas</t>
        </is>
      </c>
      <c r="B4">
        <f>IF(COUNTBLANK(TRANSACCIONES!K:K)=0,"✅ OK","❌ ERROR")</f>
        <v/>
      </c>
      <c r="C4" t="inlineStr">
        <is>
          <t>Verificar columna K</t>
        </is>
      </c>
    </row>
    <row r="5">
      <c r="A5" t="inlineStr">
        <is>
          <t>Sin duplicados</t>
        </is>
      </c>
      <c r="B5">
        <f>IF(COUNTIF(TRANSACCIONES!S:S,"*DUPLICADO*")=0,"✅ OK","⚠️ DUPLICADOS")</f>
        <v/>
      </c>
      <c r="C5" t="inlineStr">
        <is>
          <t>Revisar columna S</t>
        </is>
      </c>
    </row>
    <row r="6">
      <c r="A6" t="inlineStr">
        <is>
          <t>Balance contable</t>
        </is>
      </c>
      <c r="B6">
        <f>IF(ABS(Dashboard!B4-(Dashboard!B5-Dashboard!B6))&lt;1,"✅ OK","❌ DESCUADRE")</f>
        <v/>
      </c>
      <c r="C6" t="inlineStr">
        <is>
          <t>Efectivo vs A/R-A/P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5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2025-11-08T04:32:22Z</dcterms:created>
  <dcterms:modified xsi:type="dcterms:W3CDTF">2025-11-08T04:32:22Z</dcterms:modified>
</cp:coreProperties>
</file>