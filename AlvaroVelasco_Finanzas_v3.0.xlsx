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lvaro Velasco\desktop\debt-sanitization-strategy\"/>
    </mc:Choice>
  </mc:AlternateContent>
  <xr:revisionPtr revIDLastSave="0" documentId="13_ncr:1_{0A4A918C-B781-48D6-B11D-06735E7748E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RANSACCIONES" sheetId="1" r:id="rId1"/>
    <sheet name="EFECTIVO" sheetId="2" r:id="rId2"/>
    <sheet name="DASHBOARD" sheetId="3" r:id="rId3"/>
    <sheet name="ENTIDADES_ALIAS" sheetId="4" r:id="rId4"/>
    <sheet name="CONFIG" sheetId="5" r:id="rId5"/>
    <sheet name="IVA_CONTROL" sheetId="6" r:id="rId6"/>
    <sheet name="CxC" sheetId="7" r:id="rId7"/>
    <sheet name="CxP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8" l="1"/>
  <c r="G17" i="8"/>
  <c r="H16" i="8"/>
  <c r="I16" i="8" s="1"/>
  <c r="F15" i="8"/>
  <c r="E15" i="8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G7" i="8"/>
  <c r="I7" i="8" s="1"/>
  <c r="G6" i="8"/>
  <c r="I6" i="8" s="1"/>
  <c r="G5" i="8"/>
  <c r="I5" i="8" s="1"/>
  <c r="G4" i="8"/>
  <c r="I4" i="8" s="1"/>
  <c r="G3" i="8"/>
  <c r="I3" i="8" s="1"/>
  <c r="G21" i="7"/>
  <c r="F21" i="7"/>
  <c r="H20" i="7"/>
  <c r="I20" i="7" s="1"/>
  <c r="H19" i="7"/>
  <c r="I19" i="7" s="1"/>
  <c r="H18" i="7"/>
  <c r="I18" i="7" s="1"/>
  <c r="H17" i="7"/>
  <c r="I17" i="7" s="1"/>
  <c r="H16" i="7"/>
  <c r="I16" i="7" s="1"/>
  <c r="H15" i="7"/>
  <c r="I15" i="7" s="1"/>
  <c r="H14" i="7"/>
  <c r="I14" i="7" s="1"/>
  <c r="H13" i="7"/>
  <c r="I13" i="7" s="1"/>
  <c r="H12" i="7"/>
  <c r="I12" i="7" s="1"/>
  <c r="H11" i="7"/>
  <c r="I11" i="7" s="1"/>
  <c r="H10" i="7"/>
  <c r="I10" i="7" s="1"/>
  <c r="H9" i="7"/>
  <c r="I9" i="7" s="1"/>
  <c r="H8" i="7"/>
  <c r="I8" i="7" s="1"/>
  <c r="H7" i="7"/>
  <c r="I7" i="7" s="1"/>
  <c r="H6" i="7"/>
  <c r="I6" i="7" s="1"/>
  <c r="H5" i="7"/>
  <c r="I5" i="7" s="1"/>
  <c r="H4" i="7"/>
  <c r="I4" i="7" s="1"/>
  <c r="H3" i="7"/>
  <c r="I3" i="7" s="1"/>
  <c r="D41" i="6"/>
  <c r="H40" i="6"/>
  <c r="E40" i="6"/>
  <c r="F40" i="6" s="1"/>
  <c r="H39" i="6"/>
  <c r="E39" i="6"/>
  <c r="H38" i="6"/>
  <c r="E38" i="6"/>
  <c r="F38" i="6" s="1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D21" i="6"/>
  <c r="H20" i="6"/>
  <c r="E20" i="6"/>
  <c r="F20" i="6" s="1"/>
  <c r="I20" i="6" s="1"/>
  <c r="H19" i="6"/>
  <c r="E19" i="6"/>
  <c r="F19" i="6" s="1"/>
  <c r="I19" i="6" s="1"/>
  <c r="H18" i="6"/>
  <c r="E18" i="6"/>
  <c r="F18" i="6" s="1"/>
  <c r="I18" i="6" s="1"/>
  <c r="H17" i="6"/>
  <c r="E17" i="6"/>
  <c r="F17" i="6" s="1"/>
  <c r="I17" i="6" s="1"/>
  <c r="H16" i="6"/>
  <c r="E16" i="6"/>
  <c r="F16" i="6" s="1"/>
  <c r="I16" i="6" s="1"/>
  <c r="H15" i="6"/>
  <c r="E15" i="6"/>
  <c r="F15" i="6" s="1"/>
  <c r="I15" i="6" s="1"/>
  <c r="H14" i="6"/>
  <c r="E14" i="6"/>
  <c r="F14" i="6" s="1"/>
  <c r="I14" i="6" s="1"/>
  <c r="H13" i="6"/>
  <c r="E13" i="6"/>
  <c r="F13" i="6" s="1"/>
  <c r="I13" i="6" s="1"/>
  <c r="H12" i="6"/>
  <c r="E12" i="6"/>
  <c r="F12" i="6" s="1"/>
  <c r="I12" i="6" s="1"/>
  <c r="H11" i="6"/>
  <c r="E11" i="6"/>
  <c r="F11" i="6" s="1"/>
  <c r="I11" i="6" s="1"/>
  <c r="H10" i="6"/>
  <c r="E10" i="6"/>
  <c r="F10" i="6" s="1"/>
  <c r="I10" i="6" s="1"/>
  <c r="H9" i="6"/>
  <c r="E9" i="6"/>
  <c r="F9" i="6" s="1"/>
  <c r="I9" i="6" s="1"/>
  <c r="H8" i="6"/>
  <c r="E8" i="6"/>
  <c r="F8" i="6" s="1"/>
  <c r="I8" i="6" s="1"/>
  <c r="H7" i="6"/>
  <c r="E7" i="6"/>
  <c r="F7" i="6" s="1"/>
  <c r="I7" i="6" s="1"/>
  <c r="H6" i="6"/>
  <c r="E6" i="6"/>
  <c r="D22" i="5"/>
  <c r="E22" i="5" s="1"/>
  <c r="D21" i="5"/>
  <c r="E21" i="5" s="1"/>
  <c r="D20" i="5"/>
  <c r="E20" i="5" s="1"/>
  <c r="D19" i="5"/>
  <c r="E19" i="5" s="1"/>
  <c r="E18" i="5"/>
  <c r="D18" i="5"/>
  <c r="D17" i="5"/>
  <c r="F8" i="3"/>
  <c r="F7" i="3"/>
  <c r="G23" i="2"/>
  <c r="F23" i="2"/>
  <c r="D23" i="2"/>
  <c r="C23" i="2"/>
  <c r="E22" i="2"/>
  <c r="H22" i="2" s="1"/>
  <c r="E21" i="2"/>
  <c r="H21" i="2" s="1"/>
  <c r="E20" i="2"/>
  <c r="H20" i="2" s="1"/>
  <c r="E19" i="2"/>
  <c r="H19" i="2" s="1"/>
  <c r="E18" i="2"/>
  <c r="G14" i="2"/>
  <c r="F14" i="2"/>
  <c r="E14" i="2"/>
  <c r="H13" i="2"/>
  <c r="H12" i="2"/>
  <c r="H11" i="2"/>
  <c r="H10" i="2"/>
  <c r="H9" i="2"/>
  <c r="H8" i="2"/>
  <c r="H7" i="2"/>
  <c r="H6" i="2"/>
  <c r="H5" i="2"/>
  <c r="H14" i="2" s="1"/>
  <c r="T2" i="1"/>
  <c r="S2" i="1"/>
  <c r="F6" i="3" s="1"/>
  <c r="F39" i="6" l="1"/>
  <c r="E41" i="6"/>
  <c r="H37" i="6"/>
  <c r="F37" i="6"/>
  <c r="F36" i="6"/>
  <c r="H36" i="6"/>
  <c r="H35" i="6"/>
  <c r="F35" i="6"/>
  <c r="H34" i="6"/>
  <c r="F34" i="6"/>
  <c r="H33" i="6"/>
  <c r="F33" i="6"/>
  <c r="F32" i="6"/>
  <c r="H32" i="6"/>
  <c r="F31" i="6"/>
  <c r="H31" i="6"/>
  <c r="F30" i="6"/>
  <c r="H30" i="6"/>
  <c r="F29" i="6"/>
  <c r="H29" i="6"/>
  <c r="H28" i="6"/>
  <c r="F28" i="6"/>
  <c r="H27" i="6"/>
  <c r="F27" i="6"/>
  <c r="H26" i="6"/>
  <c r="F26" i="6"/>
  <c r="H25" i="6"/>
  <c r="F25" i="6"/>
  <c r="F6" i="6"/>
  <c r="E21" i="6"/>
  <c r="B44" i="6" s="1"/>
  <c r="E23" i="2"/>
  <c r="H18" i="2"/>
  <c r="H23" i="2" s="1"/>
  <c r="F25" i="2" s="1"/>
  <c r="I6" i="6" l="1"/>
  <c r="F21" i="6"/>
  <c r="H41" i="6"/>
  <c r="B45" i="6" s="1"/>
  <c r="B4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Sistema v3.0</author>
  </authors>
  <commentList>
    <comment ref="A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💡 FECHA DE LA TRANSACCIÓN
Formato: DD/MM/YYYY
Ejemplo: 15/11/2025
⚠️ Usa la fecha real de la transacción, no cuando la registras.</t>
        </r>
      </text>
    </comment>
    <comment ref="B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💡 TIPO DE TRANSACCIÓN
Opciones:
• INGRESO - Dinero que entra
• GASTO OPERATIVO - Gastos del negocio
• GASTO PERSONAL - Gastos personales/no deducibles
• GASTO FINANCIERO - Intereses, comisiones
• COMPRA PARA REVENTA - Inventario
• TRANSFERENCIA - Movimiento entre cuentas
• PAGO TARJETA - Abono a tarjetas
• PAGO PRESTAMO - Abono a préstamos
• AJUSTE - Correcciones</t>
        </r>
      </text>
    </comment>
    <comment ref="C2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💡 CATEGORÍA
Elige la categoría contable.
Si es venta: Especifica qué vendiste
Si es gasto: Especifica en qué gastaste
⚠️ Importante para reportes de P&amp;L</t>
        </r>
      </text>
    </comment>
    <comment ref="D2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💡 DESCRIPCIÓN
Detalla QUÉ fue la transacción.
Ejemplo:
• Pago quincenal empleados
• Compra inventario laptops HP
• Servicio técnico en sitio - Cliente XYZ
✅ Sé específico, te ayudará después</t>
        </r>
      </text>
    </comment>
    <comment ref="E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💡 CUENTA ORIGEN
Elige de dónde salió/entró el dinero:
• Cuenta bancaria específica
• Tarjeta de crédito
• Efectivo
⚠️ Debe coincidir exactamente con nombres en hoja EFECTIVO</t>
        </r>
      </text>
    </comment>
    <comment ref="F2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💡 ENTIDAD (Cliente o Proveedor)
Si es INGRESO: Nombre del cliente
Si es GASTO: Nombre del proveedor
⚠️ Usa nombres EXACTOS de la hoja ENTIDADES_ALIAS para que sistema los reconozca</t>
        </r>
      </text>
    </comment>
    <comment ref="G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💡 FACTURA #
Número de factura electrónica.
Formato CR:
• Clientes: 50601012345678901234567890123456789012345
• Proveedores: 50601XXXXXXXXXXXXXXX
Si no hay factura: deja vacío</t>
        </r>
      </text>
    </comment>
    <comment ref="H2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💡 MONTO EN COLONES (CRC)
Si transacción fue en colones, ingrésala aquí.
Formato: 50000 (sin comas)
⚠️ Ingresa SOLO en una moneda (CRC o USD), no ambas</t>
        </r>
      </text>
    </comment>
    <comment ref="I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💡 MONTO EN DÓLARES (USD)
Si transacción fue en dólares, ingrésala aquí.
Formato: 100.50
⚠️ Ingresa SOLO en una moneda (CRC o USD), no ambas</t>
        </r>
      </text>
    </comment>
    <comment ref="J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💡 TIPO DE CAMBIO
Ingresa el TC del día de la transacción.
Por defecto: ₡508 (TC Venta 12/Nov/2025)
Actualiza en CONFIG si cambia.
Formato: 508 (sin comas)</t>
        </r>
      </text>
    </comment>
    <comment ref="K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💡 MÉTODO DE PAGO
Cómo se realizó el pago:
• Transferencia
• SINPE Móvil
• Efectivo
• Cheque
• Tarjeta débito
• Tarjeta crédito
• Depósito</t>
        </r>
      </text>
    </comment>
    <comment ref="L2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💡 ESTADO
COMPLETADA - Ya se realizó
PENDIENTE - Aún no se ejecuta
CANCELADA - Se anuló</t>
        </r>
      </text>
    </comment>
    <comment ref="M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💡 IVA INCLUIDO (%)
Si el monto incluye IVA, indica %:
• 13% - Mayoría productos/servicios
• 0% - Sin IVA
• 1%, 2%, 4% - Casos especiales
⚠️ Esto permite calcular IVA exacto después</t>
        </r>
      </text>
    </comment>
    <comment ref="N2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💡 REFERENCIA BANCARIA
Número de referencia del banco.
Ejemplo:
• SINPE: 912345678
• Transferencia: REF-202511-12345
Útil para conciliación</t>
        </r>
      </text>
    </comment>
    <comment ref="O2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💡 NOTAS ADICIONALES
Cualquier información extra relevante:
• Recordatorios
• Aclaraciones
• Próximas acciones
• Relaciones con otras transacciones</t>
        </r>
      </text>
    </comment>
    <comment ref="P2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💡 CREADO POR
Ingresa tu nombre o iniciales.
Ejemplo:
• Alvaro
• AV
• Contador
• Asistente
Útil para auditoría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Sistema v3.0</author>
  </authors>
  <commentList>
    <comment ref="B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💡 MES ACTIVO
Cambia el mes cuando inicies un nuevo período.
Formato: Enero 2025, Febrero 2025, etc.</t>
        </r>
      </text>
    </comment>
    <comment ref="B12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💡 TIPO DE CAMBIO COMPRA
Cuántos colones TE DAN por $1 USD
Ejemplo: Si banco te da ₡494.00 por $1
⚠️ Actualizar 1 vez/semana</t>
        </r>
      </text>
    </comment>
    <comment ref="B13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💡 TIPO DE CAMBIO VENTA
Cuántos colones PAGAS por $1 USD
Ejemplo: Si banco cobra ₡508.00 por $1
⚠️ Actualizar 1 vez/semana</t>
        </r>
      </text>
    </comment>
  </commentList>
</comments>
</file>

<file path=xl/sharedStrings.xml><?xml version="1.0" encoding="utf-8"?>
<sst xmlns="http://schemas.openxmlformats.org/spreadsheetml/2006/main" count="1690" uniqueCount="475">
  <si>
    <t>Fecha</t>
  </si>
  <si>
    <t>Tipo</t>
  </si>
  <si>
    <t>Categoría</t>
  </si>
  <si>
    <t>Descripción</t>
  </si>
  <si>
    <t>Cuenta Origen</t>
  </si>
  <si>
    <t>Entidad</t>
  </si>
  <si>
    <t>Factura #</t>
  </si>
  <si>
    <t>Monto CRC</t>
  </si>
  <si>
    <t>Monto USD</t>
  </si>
  <si>
    <t>Tipo Cambio</t>
  </si>
  <si>
    <t>Método Pago</t>
  </si>
  <si>
    <t>Estado</t>
  </si>
  <si>
    <t>IVA %</t>
  </si>
  <si>
    <t>Ref. Bancaria</t>
  </si>
  <si>
    <t>Notas</t>
  </si>
  <si>
    <t>Creado Por</t>
  </si>
  <si>
    <t>Fecha Creación</t>
  </si>
  <si>
    <t>Modificado Por</t>
  </si>
  <si>
    <t>⚠️ Duplicados</t>
  </si>
  <si>
    <t>ID</t>
  </si>
  <si>
    <t>Apertura Inicial</t>
  </si>
  <si>
    <t>Promerica USD (40000003881774)</t>
  </si>
  <si>
    <t>Sistema</t>
  </si>
  <si>
    <t>Cobrado</t>
  </si>
  <si>
    <t>Importado v2.0</t>
  </si>
  <si>
    <t>TRANSFERENCIAS</t>
  </si>
  <si>
    <t>BNCR USD (601066-4)</t>
  </si>
  <si>
    <t>Promerica CRC (10000003881708)</t>
  </si>
  <si>
    <t>BNCR CRC (188618-3)</t>
  </si>
  <si>
    <t>BNCR Ahorro 1002335826</t>
  </si>
  <si>
    <t>BNCR Ahorro 1002273441</t>
  </si>
  <si>
    <t>BNCR Ahorro 1002388223</t>
  </si>
  <si>
    <t>BNCR Ahorro 17000002201</t>
  </si>
  <si>
    <t>GASTOS OPERATIVOS</t>
  </si>
  <si>
    <t>Por Cobrar</t>
  </si>
  <si>
    <t>VWR INTERNATIONAL LTDA</t>
  </si>
  <si>
    <t>Pendiente</t>
  </si>
  <si>
    <t>GRUPO ACCION COMERCIAL S.A.</t>
  </si>
  <si>
    <t>ALMACEN FISCAL DEL PACIFICO ALFIPAC SOCIEDAD ANONIMA</t>
  </si>
  <si>
    <t>3-102-887892 SOCIEDAD DE RESPONSABILIDAD LIMITADA</t>
  </si>
  <si>
    <t>WAIPIO SOCIEDAD ANONIMA</t>
  </si>
  <si>
    <t>CENTRO INTEGRAL DE ONCOLOGIA CIO SRL</t>
  </si>
  <si>
    <t>ORTODONCIA DE LA CRUZ</t>
  </si>
  <si>
    <t>GLOBAL AUTOMOTRIZ DE COSTA RICA GACR SOCIEDAD ANONIMA</t>
  </si>
  <si>
    <t>SOLUSA CONSOLIDATORS AND FORWARDIG, S.A.</t>
  </si>
  <si>
    <t>CEMSO</t>
  </si>
  <si>
    <t>ASOCIACION COSTARRICENSE DE AGENCIAS DE CARGA Y LOGISTICA INTERNACIONAL ACACIA</t>
  </si>
  <si>
    <t>RODRIGUEZ ROJAS CARLOS HUMBERTO</t>
  </si>
  <si>
    <t>SUPPLY NET C.R.W.H SOCIEDAD ANONIMA</t>
  </si>
  <si>
    <t>OPERATION MANAGMENT OF TIERRA MAGNIFICA</t>
  </si>
  <si>
    <t>GENTRA DE COSTA RICA SOCIEDAD ANONIMA</t>
  </si>
  <si>
    <t>SEVILLA NAVARRO EDGAR</t>
  </si>
  <si>
    <t>GOMEZ AJOY EDGAR LUIS</t>
  </si>
  <si>
    <t>MELENDEZ MORALES MONICA</t>
  </si>
  <si>
    <t>BANDOGO SOLUCIONES TECNOLOGICAS SOCIEDAD ANONIMA</t>
  </si>
  <si>
    <t>CPF SERVICIOS RADIOLÓGICOS S.A.</t>
  </si>
  <si>
    <t>ORTODEC S.A.</t>
  </si>
  <si>
    <t>PEREZ MORALES FRANCISCO</t>
  </si>
  <si>
    <t>COMPRAS PARA REVENTA</t>
  </si>
  <si>
    <t>Por Pagar</t>
  </si>
  <si>
    <t>Intcomex</t>
  </si>
  <si>
    <t>SEA Global</t>
  </si>
  <si>
    <t>GASTOS FINANCIEROS</t>
  </si>
  <si>
    <t>TC BNCR TC BNCR 3519</t>
  </si>
  <si>
    <t>BNCR</t>
  </si>
  <si>
    <t>TC BNCR TC BNCR 9837</t>
  </si>
  <si>
    <t>TC BNCR TC BNCR 6386</t>
  </si>
  <si>
    <t>TC BNCR TC BNCR 8759</t>
  </si>
  <si>
    <t>TC BAC TC BAC</t>
  </si>
  <si>
    <t>BAC</t>
  </si>
  <si>
    <t>ESPH</t>
  </si>
  <si>
    <t>Completado</t>
  </si>
  <si>
    <t>ICE</t>
  </si>
  <si>
    <t>INGRESOS</t>
  </si>
  <si>
    <t>CPF SERVICIOS RADIOLÓGICOS</t>
  </si>
  <si>
    <t>SMART WEB SERVICES</t>
  </si>
  <si>
    <t>Banco Promerica</t>
  </si>
  <si>
    <t>Tarjeta BNCR</t>
  </si>
  <si>
    <t>Proveedor Curso</t>
  </si>
  <si>
    <t>CARROFACIL DE COSTA RICA</t>
  </si>
  <si>
    <t>GRUPO PORCINAS DE LA COSTA</t>
  </si>
  <si>
    <t>VOLIO PARTNERS</t>
  </si>
  <si>
    <t>GENTRA DE COSTA RICA</t>
  </si>
  <si>
    <t>Don Fernando</t>
  </si>
  <si>
    <t>Farmavalue</t>
  </si>
  <si>
    <t>Unopetrol Barreal</t>
  </si>
  <si>
    <t>Caja Costarricense Seguro Social</t>
  </si>
  <si>
    <t>ALMACEN FISCAL DEL PACIFICO</t>
  </si>
  <si>
    <t>Intcomex Costa Rica</t>
  </si>
  <si>
    <t>UNOPETROL CR</t>
  </si>
  <si>
    <t>INDUSTRIAS BUENOS AIRES</t>
  </si>
  <si>
    <t>Pasivos</t>
  </si>
  <si>
    <t>VISA 3519</t>
  </si>
  <si>
    <t>VISA 9837</t>
  </si>
  <si>
    <t>VISA 6386</t>
  </si>
  <si>
    <t>MC 8759</t>
  </si>
  <si>
    <t>VISA 9550</t>
  </si>
  <si>
    <t>Nissan</t>
  </si>
  <si>
    <t>CCSS</t>
  </si>
  <si>
    <t>Hacienda</t>
  </si>
  <si>
    <t>VWR INTERNATIONAL LTDA.</t>
  </si>
  <si>
    <t>SOLUSA CONSOLIDATORS AND FORWARDIG S.A.</t>
  </si>
  <si>
    <t>INTCOMEX Costa Rica</t>
  </si>
  <si>
    <t>Pagada</t>
  </si>
  <si>
    <t>EUROCOMP DE COSTA RICA S.A.</t>
  </si>
  <si>
    <t>Tarjeta BNCR Visa 3519</t>
  </si>
  <si>
    <t>Uber</t>
  </si>
  <si>
    <t>POPS San Antonio</t>
  </si>
  <si>
    <t>AM PM San Francisco</t>
  </si>
  <si>
    <t>Tarjeta BNCR MC 8759</t>
  </si>
  <si>
    <t>Apple Inc</t>
  </si>
  <si>
    <t>Tarjeta BNCR Visa 9837</t>
  </si>
  <si>
    <t>Auto Mercado</t>
  </si>
  <si>
    <t>BNCR CRC</t>
  </si>
  <si>
    <t>Tarjeta Siman</t>
  </si>
  <si>
    <t>Uber Eats</t>
  </si>
  <si>
    <t>BNCR USD 601066</t>
  </si>
  <si>
    <t>Plan Impuestos Municipales</t>
  </si>
  <si>
    <t>Plan Matrimonio</t>
  </si>
  <si>
    <t>Plan Black Friday</t>
  </si>
  <si>
    <t>Plan Nuevo</t>
  </si>
  <si>
    <t>Alejandra Arias Fallas</t>
  </si>
  <si>
    <t>Banco Nacional</t>
  </si>
  <si>
    <t>TC BNCR MC 8759</t>
  </si>
  <si>
    <t>TC BNCR Visa 6386</t>
  </si>
  <si>
    <t>BNCR USD 11121</t>
  </si>
  <si>
    <t>Comunidad PAS</t>
  </si>
  <si>
    <t>José Alejandro Alfaro</t>
  </si>
  <si>
    <t>TC BNCR Visa 3519</t>
  </si>
  <si>
    <t>Empleador</t>
  </si>
  <si>
    <t>BNCR CRC 188618</t>
  </si>
  <si>
    <t>Thomas Davidovich</t>
  </si>
  <si>
    <t>Andrés Velasco Arana</t>
  </si>
  <si>
    <t>Casa</t>
  </si>
  <si>
    <t>Álvaro Velasco</t>
  </si>
  <si>
    <t>TC BNCR Visa 9837</t>
  </si>
  <si>
    <t>Andrés Velasco</t>
  </si>
  <si>
    <t>Rosdeyli Salome Lopez</t>
  </si>
  <si>
    <t>Auto Mercado Online</t>
  </si>
  <si>
    <t>La Frikitona</t>
  </si>
  <si>
    <t>Tienda Pronto Barreal</t>
  </si>
  <si>
    <t>Amazon</t>
  </si>
  <si>
    <t>Multimercado AM PM</t>
  </si>
  <si>
    <t>Mini Super San Agustín</t>
  </si>
  <si>
    <t>Abastecedor La Esquina</t>
  </si>
  <si>
    <t>Anthropic</t>
  </si>
  <si>
    <t>Netflix</t>
  </si>
  <si>
    <t>PayPal Cleverbridge</t>
  </si>
  <si>
    <t>VWR International LT</t>
  </si>
  <si>
    <t>Proveedor</t>
  </si>
  <si>
    <t>Casa 10E</t>
  </si>
  <si>
    <t>Corporación Tierrare</t>
  </si>
  <si>
    <t>SEA Global Logistics</t>
  </si>
  <si>
    <t>Alvaro Velasconet SRL</t>
  </si>
  <si>
    <t>Asociación Costarricense</t>
  </si>
  <si>
    <t>Estacion Servicios NASA</t>
  </si>
  <si>
    <t>Amazon Marketplace</t>
  </si>
  <si>
    <t>Banco BAC</t>
  </si>
  <si>
    <t>Proveedor Capacitacion</t>
  </si>
  <si>
    <t>CarroFacil de Costa Rica</t>
  </si>
  <si>
    <t>PayPal Uber BV</t>
  </si>
  <si>
    <t>CONTROL DE EFECTIVO, BANCOS Y TARJETAS DE CRÉDITO</t>
  </si>
  <si>
    <t>🏦 CUENTAS BANCARIAS (ACTIVOS)</t>
  </si>
  <si>
    <t>Cuenta</t>
  </si>
  <si>
    <t>N° Completo</t>
  </si>
  <si>
    <t>Moneda</t>
  </si>
  <si>
    <t>Saldo 12/Nov</t>
  </si>
  <si>
    <t>Ingresos</t>
  </si>
  <si>
    <t>Egresos</t>
  </si>
  <si>
    <t>Saldo Actual</t>
  </si>
  <si>
    <t>Uso</t>
  </si>
  <si>
    <t>BNCR CRC Ahorros (***8618)</t>
  </si>
  <si>
    <t>100-01-000-188618-3</t>
  </si>
  <si>
    <t>Banco</t>
  </si>
  <si>
    <t>CRC</t>
  </si>
  <si>
    <t>NEGOCIO</t>
  </si>
  <si>
    <t>BNCR USD Ahorros (***1066)</t>
  </si>
  <si>
    <t>100-02-087-601066-4</t>
  </si>
  <si>
    <t>USD</t>
  </si>
  <si>
    <t>BNCR CRC Corriente (***2186)</t>
  </si>
  <si>
    <t>200-01-087-042186-9</t>
  </si>
  <si>
    <t>NEGOCIO/RESERVAS</t>
  </si>
  <si>
    <t>BNCR USD Corriente (***9589)</t>
  </si>
  <si>
    <t>200-02-087-009589-4</t>
  </si>
  <si>
    <t>PERSONAL</t>
  </si>
  <si>
    <t>BNCR USD Corriente (***1112)</t>
  </si>
  <si>
    <t>200-02-087-011112-1</t>
  </si>
  <si>
    <t>Promerica CRC SINPE (***1708)</t>
  </si>
  <si>
    <t>10000003881708</t>
  </si>
  <si>
    <t>Promerica USD Ahorros (***1691)</t>
  </si>
  <si>
    <t>20000003881691</t>
  </si>
  <si>
    <t>Promerica CRC CC Corp (***4229)</t>
  </si>
  <si>
    <t>30000003904229</t>
  </si>
  <si>
    <t>Promerica USD CC Corp (***1774)</t>
  </si>
  <si>
    <t>40000003881774</t>
  </si>
  <si>
    <t>TOTAL BANCOS (USD equivalente)</t>
  </si>
  <si>
    <t>💳 TARJETAS DE CRÉDITO (PASIVOS - DEUDAS)</t>
  </si>
  <si>
    <t>Tarjeta</t>
  </si>
  <si>
    <t>Titular</t>
  </si>
  <si>
    <t>Saldo USD</t>
  </si>
  <si>
    <t>Saldo CRC</t>
  </si>
  <si>
    <t>Equiv. USD Total</t>
  </si>
  <si>
    <t>Pagos</t>
  </si>
  <si>
    <t>Cargos</t>
  </si>
  <si>
    <t>Estrategia</t>
  </si>
  <si>
    <t>BNCR VISA ***3519 (Alvaro)</t>
  </si>
  <si>
    <t>Alvaro</t>
  </si>
  <si>
    <t>Pago total mensual</t>
  </si>
  <si>
    <t>BNCR VISA ***9837 (Alvaro)</t>
  </si>
  <si>
    <t>Pago mínimo × 1.5</t>
  </si>
  <si>
    <t>BNCR VISA ***6386 (Alejandra)</t>
  </si>
  <si>
    <t>Alejandra</t>
  </si>
  <si>
    <t>BNCR MC ***8759 (Alvaro)</t>
  </si>
  <si>
    <t>BAC VISA ***9550 (Alvaro)</t>
  </si>
  <si>
    <t>TOTAL TARJETAS (PASIVOS)</t>
  </si>
  <si>
    <t>💰 EFECTIVO NETO (Bancos - Tarjetas)</t>
  </si>
  <si>
    <t>💡 NOTAS:</t>
  </si>
  <si>
    <t>• Saldos al 12 de Noviembre 2025</t>
  </si>
  <si>
    <t>• Columnas 'Ingresos', 'Egresos', 'Pagos' y 'Cargos' se conectarán automáticamente a TRANSACCIONES</t>
  </si>
  <si>
    <t>• Tipo de cambio usado para conversión: TC Compra ₡494.00 por $1 USD (12/Nov/2025)</t>
  </si>
  <si>
    <t>• EFECTIVO NETO REAL: Bancos - Tarjetas (ver cálculo arriba)</t>
  </si>
  <si>
    <t>DASHBOARD FINANCIERO - 13/Nov/2025 11:31</t>
  </si>
  <si>
    <t>DASHBOARD FINANCIERO</t>
  </si>
  <si>
    <t>💰 EFECTIVO</t>
  </si>
  <si>
    <t>Bancos</t>
  </si>
  <si>
    <t>Tarjetas (debe)</t>
  </si>
  <si>
    <t>NETO</t>
  </si>
  <si>
    <t>📊 FLUJO NOVIEMBRE</t>
  </si>
  <si>
    <t>Gastos</t>
  </si>
  <si>
    <t>📋 CUENTAS</t>
  </si>
  <si>
    <t>CxC Total</t>
  </si>
  <si>
    <t>CxC Vencida</t>
  </si>
  <si>
    <t>CxP Total</t>
  </si>
  <si>
    <t>CxP Crítica</t>
  </si>
  <si>
    <t>🧾 IVA NOVIEMBRE</t>
  </si>
  <si>
    <t>IVA Cobrado</t>
  </si>
  <si>
    <t>IVA Acreditable</t>
  </si>
  <si>
    <t>IVA Neto</t>
  </si>
  <si>
    <t>⏰ DÍAS DE COBERTURA</t>
  </si>
  <si>
    <t>Efectivo / Gasto Diario</t>
  </si>
  <si>
    <t>SISTEMA DE NORMALIZACIÓN DE ENTIDADES</t>
  </si>
  <si>
    <t>💡 Esta hoja permite normalizar nombres de clientes, proveedores y bancos que aparecen con variaciones</t>
  </si>
  <si>
    <t>Nombre Estándar</t>
  </si>
  <si>
    <t>Alias 1</t>
  </si>
  <si>
    <t>Alias 2</t>
  </si>
  <si>
    <t>Alias 3</t>
  </si>
  <si>
    <t>Alias 4</t>
  </si>
  <si>
    <t>Alias 5</t>
  </si>
  <si>
    <t>Última Actualización</t>
  </si>
  <si>
    <t>Cliente</t>
  </si>
  <si>
    <t>Grupo Acción Comercial S.A.</t>
  </si>
  <si>
    <t>Grupo Acción Comercial</t>
  </si>
  <si>
    <t>GACS</t>
  </si>
  <si>
    <t>VIP</t>
  </si>
  <si>
    <t>Facturación Nov: $1689.04</t>
  </si>
  <si>
    <t>13/11/2025</t>
  </si>
  <si>
    <t>VWR International Ltda</t>
  </si>
  <si>
    <t>VWR International</t>
  </si>
  <si>
    <t>IL</t>
  </si>
  <si>
    <t>Facturación Nov: $1400.00</t>
  </si>
  <si>
    <t>Alfipac (Almacén Fiscal Pacífico)</t>
  </si>
  <si>
    <t>A(FP</t>
  </si>
  <si>
    <t>Facturación Nov: $761.05</t>
  </si>
  <si>
    <t>3-102-887892 SRL</t>
  </si>
  <si>
    <t>Regular</t>
  </si>
  <si>
    <t>Facturación Nov: $691.56</t>
  </si>
  <si>
    <t>Waipio S.A.</t>
  </si>
  <si>
    <t>Waipio</t>
  </si>
  <si>
    <t>Facturación Nov: $687.27</t>
  </si>
  <si>
    <t>Centro Integral Oncología CIO SRL</t>
  </si>
  <si>
    <t>CIO</t>
  </si>
  <si>
    <t>Facturación Nov: $687.05</t>
  </si>
  <si>
    <t>Ortodoncia de la Cruz</t>
  </si>
  <si>
    <t>OC</t>
  </si>
  <si>
    <t>Facturación Nov: $494.50</t>
  </si>
  <si>
    <t>Global Automotriz GACR S.A.</t>
  </si>
  <si>
    <t>Global Automotriz GACR</t>
  </si>
  <si>
    <t>GAGS</t>
  </si>
  <si>
    <t>Facturación Nov: $439.61</t>
  </si>
  <si>
    <t>Solusa Consolidators</t>
  </si>
  <si>
    <t>Facturación Nov: $378.35</t>
  </si>
  <si>
    <t>Cemso</t>
  </si>
  <si>
    <t>Facturación Nov: $333.92</t>
  </si>
  <si>
    <t>Acacia (Asoc. CR Agencias Carga)</t>
  </si>
  <si>
    <t>A(AC</t>
  </si>
  <si>
    <t>Facturación Nov: $333.35</t>
  </si>
  <si>
    <t>Rodriguez Rojas Carlos Humberto</t>
  </si>
  <si>
    <t>RRCH</t>
  </si>
  <si>
    <t>Facturación Nov: $282.50</t>
  </si>
  <si>
    <t>Supply Net C.R.W.H S.A.</t>
  </si>
  <si>
    <t>Supply Net C.R.W.H</t>
  </si>
  <si>
    <t>SCS</t>
  </si>
  <si>
    <t>Facturación Nov: $276.85</t>
  </si>
  <si>
    <t>Operation Managment Tierra Magnifica</t>
  </si>
  <si>
    <t>OMTM</t>
  </si>
  <si>
    <t>Facturación Nov: $209.06</t>
  </si>
  <si>
    <t>Gentra de Costa Rica S.A.</t>
  </si>
  <si>
    <t>Gentra de Costa Rica</t>
  </si>
  <si>
    <t>GCRS</t>
  </si>
  <si>
    <t>Facturación Nov: $183.63</t>
  </si>
  <si>
    <t>Sevilla Navarro Edgar</t>
  </si>
  <si>
    <t>SNE</t>
  </si>
  <si>
    <t>Facturación Nov: $169.50</t>
  </si>
  <si>
    <t>Gomez Ajoy Edgar Luis</t>
  </si>
  <si>
    <t>GAEL</t>
  </si>
  <si>
    <t>Facturación Nov: $113.00</t>
  </si>
  <si>
    <t>Melendez Morales Monica</t>
  </si>
  <si>
    <t>MMM</t>
  </si>
  <si>
    <t>Bandogo Soluciones Tecnológicas S.A.</t>
  </si>
  <si>
    <t>Bandogo Soluciones Tecnológicas</t>
  </si>
  <si>
    <t>BSTS</t>
  </si>
  <si>
    <t>Facturación Nov: $67.80</t>
  </si>
  <si>
    <t>CPF Servicios Radiológicos S.A.</t>
  </si>
  <si>
    <t>CPF Servicios Radiológicos</t>
  </si>
  <si>
    <t>SRS</t>
  </si>
  <si>
    <t>Facturación Nov: $56.50</t>
  </si>
  <si>
    <t>Ortodec S.A.</t>
  </si>
  <si>
    <t>Ortodec</t>
  </si>
  <si>
    <t>Perez Morales Francisco</t>
  </si>
  <si>
    <t>PMF</t>
  </si>
  <si>
    <t>Facturación Nov: $42.38</t>
  </si>
  <si>
    <t>Principal</t>
  </si>
  <si>
    <t>Eurocomp S.A.</t>
  </si>
  <si>
    <t>CompuEconómicos</t>
  </si>
  <si>
    <t>TD Synex</t>
  </si>
  <si>
    <t>ICD Soft</t>
  </si>
  <si>
    <t>Moneda: CRC</t>
  </si>
  <si>
    <t>Moneda: USD</t>
  </si>
  <si>
    <t>📋 INSTRUCCIONES:</t>
  </si>
  <si>
    <t>1. Cuando aparezca una variación de nombre, agrégala como 'Alias' en la fila correspondiente</t>
  </si>
  <si>
    <t>2. Ejecuta: python scripts/normalizar_entidades_universal_v3.py</t>
  </si>
  <si>
    <t>3. El script unificará todos los nombres automáticamente</t>
  </si>
  <si>
    <t>CONFIGURACIÓN DEL SISTEMA</t>
  </si>
  <si>
    <t>📋 INFORMACIÓN GENERAL</t>
  </si>
  <si>
    <t>Versión</t>
  </si>
  <si>
    <t>3.0.0 MVP</t>
  </si>
  <si>
    <t>13/11/2025 00:54</t>
  </si>
  <si>
    <t>Propietario</t>
  </si>
  <si>
    <t>Alvaro Velasco - AVN (AlvaroVelascoNet)</t>
  </si>
  <si>
    <t>Período Fiscal</t>
  </si>
  <si>
    <t>2025</t>
  </si>
  <si>
    <t>Mes Activo</t>
  </si>
  <si>
    <t>Noviembre 2025</t>
  </si>
  <si>
    <t>💱 TIPO DE CAMBIO BI-MONEDA (CRC ↔ USD)</t>
  </si>
  <si>
    <t>Valor</t>
  </si>
  <si>
    <t>TC Compra</t>
  </si>
  <si>
    <t>Banco compra dólares (tú vendes USD)</t>
  </si>
  <si>
    <t>TC Venta</t>
  </si>
  <si>
    <t>Banco vende dólares (tú compras USD)</t>
  </si>
  <si>
    <t>📊 HISTORIAL DE TIPOS DE CAMBIO (Auditoría)</t>
  </si>
  <si>
    <t>Promedio</t>
  </si>
  <si>
    <t>Variación %</t>
  </si>
  <si>
    <t>Registrado Por</t>
  </si>
  <si>
    <t>Inicial</t>
  </si>
  <si>
    <t>📝 INSTRUCCIONES PARA ACTUALIZAR TC:</t>
  </si>
  <si>
    <t>1. Actualiza TC Compra y TC Venta cada semana (o cuando hagas cambio de moneda)</t>
  </si>
  <si>
    <t>2. Actualiza la fecha en 'Última Actualización'</t>
  </si>
  <si>
    <t>3. Registra el cambio en el HISTORIAL para auditoría</t>
  </si>
  <si>
    <t>4. Usa TC Compra cuando VENDES dólares (USD → CRC)</t>
  </si>
  <si>
    <t>5. Usa TC Venta cuando COMPRAS dólares (CRC → USD)</t>
  </si>
  <si>
    <t>CONTROL DE IVA - COSTA RICA</t>
  </si>
  <si>
    <t>Período: NOVIEMBRE 2025 | Vencimiento D-104: 26/Nov/2025</t>
  </si>
  <si>
    <t>VENTAS - IVA COBRADO (13%)</t>
  </si>
  <si>
    <t>Factura</t>
  </si>
  <si>
    <t>Base Gravable USD</t>
  </si>
  <si>
    <t>IVA 13% USD</t>
  </si>
  <si>
    <t>Total USD</t>
  </si>
  <si>
    <t>Zona Franca</t>
  </si>
  <si>
    <t>Retención 2%</t>
  </si>
  <si>
    <t>Neto Cobrado</t>
  </si>
  <si>
    <t>Ref Trans</t>
  </si>
  <si>
    <t>T-41</t>
  </si>
  <si>
    <t>NO</t>
  </si>
  <si>
    <t>EMITIDA</t>
  </si>
  <si>
    <t>T-42</t>
  </si>
  <si>
    <t>T-43</t>
  </si>
  <si>
    <t>T-44</t>
  </si>
  <si>
    <t>T-53</t>
  </si>
  <si>
    <t>T-54</t>
  </si>
  <si>
    <t>T-55</t>
  </si>
  <si>
    <t>T-56</t>
  </si>
  <si>
    <t>T-57</t>
  </si>
  <si>
    <t>T-62</t>
  </si>
  <si>
    <t>T-75</t>
  </si>
  <si>
    <t>T-76</t>
  </si>
  <si>
    <t>T-77</t>
  </si>
  <si>
    <t>T-78</t>
  </si>
  <si>
    <t>T-79</t>
  </si>
  <si>
    <t>TOTAL VENTAS</t>
  </si>
  <si>
    <t>COMPRAS - IVA PAGADO (CRÉDITO FISCAL)</t>
  </si>
  <si>
    <t>Deducible</t>
  </si>
  <si>
    <t>C-9</t>
  </si>
  <si>
    <t>SI</t>
  </si>
  <si>
    <t>N/D</t>
  </si>
  <si>
    <t>PAGADA</t>
  </si>
  <si>
    <t>C-10</t>
  </si>
  <si>
    <t>C-11</t>
  </si>
  <si>
    <t>C-12</t>
  </si>
  <si>
    <t>C-13</t>
  </si>
  <si>
    <t>C-14</t>
  </si>
  <si>
    <t>C-15</t>
  </si>
  <si>
    <t>C-16</t>
  </si>
  <si>
    <t>C-17</t>
  </si>
  <si>
    <t>C-18</t>
  </si>
  <si>
    <t>C-19</t>
  </si>
  <si>
    <t>C-20</t>
  </si>
  <si>
    <t>C-21</t>
  </si>
  <si>
    <t>C-22</t>
  </si>
  <si>
    <t>C-23</t>
  </si>
  <si>
    <t>C-24</t>
  </si>
  <si>
    <t>TOTAL COMPRAS</t>
  </si>
  <si>
    <t>RESUMEN DECLARACIÓN D-104</t>
  </si>
  <si>
    <t>IVA Cobrado (Ventas)</t>
  </si>
  <si>
    <t>IVA Acreditable (Compras)</t>
  </si>
  <si>
    <t>IVA A PAGAR</t>
  </si>
  <si>
    <t>Vencimiento D-104</t>
  </si>
  <si>
    <t>26/Nov/2025</t>
  </si>
  <si>
    <t>NOTAS:</t>
  </si>
  <si>
    <t>• VWR International y RSHughes: ZONA FRANCA (marcar Zona Franca='SI')</t>
  </si>
  <si>
    <t>• Retención 2%: Aplicable a servicios profesionales</t>
  </si>
  <si>
    <t>• IVA Acreditable: Solo gastos deducibles (marcar Deducible='SI')</t>
  </si>
  <si>
    <t>• Ref Trans: Vincular a fila en hoja TRANSACCIONES</t>
  </si>
  <si>
    <t>CUENTAS POR COBRAR (CxC)</t>
  </si>
  <si>
    <t>Fecha Emisión</t>
  </si>
  <si>
    <t>Fecha Vencimiento</t>
  </si>
  <si>
    <t>Días Crédito</t>
  </si>
  <si>
    <t>Días Vencido</t>
  </si>
  <si>
    <t>AR-002</t>
  </si>
  <si>
    <t>AR-001</t>
  </si>
  <si>
    <t>AR-004</t>
  </si>
  <si>
    <t>AR-006</t>
  </si>
  <si>
    <t>AR-007</t>
  </si>
  <si>
    <t>AR-008</t>
  </si>
  <si>
    <t>AR-009</t>
  </si>
  <si>
    <t>AR-010</t>
  </si>
  <si>
    <t>AR-012</t>
  </si>
  <si>
    <t>AR-013</t>
  </si>
  <si>
    <t>AR-014</t>
  </si>
  <si>
    <t>AR-016</t>
  </si>
  <si>
    <t>AR-017</t>
  </si>
  <si>
    <t>AR-018</t>
  </si>
  <si>
    <t>AR-019</t>
  </si>
  <si>
    <t>AR-020</t>
  </si>
  <si>
    <t>AR-021</t>
  </si>
  <si>
    <t>AR-022</t>
  </si>
  <si>
    <t>TOTAL CxC</t>
  </si>
  <si>
    <t>CUENTAS POR PAGAR (CxP)</t>
  </si>
  <si>
    <t>Prioridad</t>
  </si>
  <si>
    <t>2518439</t>
  </si>
  <si>
    <t>ALTA</t>
  </si>
  <si>
    <t>2518765</t>
  </si>
  <si>
    <t>2520652</t>
  </si>
  <si>
    <t>Alquiler Oficina</t>
  </si>
  <si>
    <t>Mensual</t>
  </si>
  <si>
    <t>CRÍTICA</t>
  </si>
  <si>
    <t>Nissan - Financiamiento</t>
  </si>
  <si>
    <t>Cuota mensual</t>
  </si>
  <si>
    <t>Hacienda - IVA/Renta</t>
  </si>
  <si>
    <t>Arreglo de pago</t>
  </si>
  <si>
    <t>BAJA</t>
  </si>
  <si>
    <t>Sea Global Logistics (SGL)</t>
  </si>
  <si>
    <t>Importación 1</t>
  </si>
  <si>
    <t>MEDIA</t>
  </si>
  <si>
    <t>Importación 2</t>
  </si>
  <si>
    <t>Corporacion Geoalerta TTI, S.A.</t>
  </si>
  <si>
    <t>Seguridad Sept</t>
  </si>
  <si>
    <t>Computadores Economicos, S.A.</t>
  </si>
  <si>
    <t>LCD/Bateria/Pantalla</t>
  </si>
  <si>
    <t>Eurocomp de Costa Rica, S.A.</t>
  </si>
  <si>
    <t>Teclado/Mouse</t>
  </si>
  <si>
    <t>PC/Laptop/UPS/Monitor</t>
  </si>
  <si>
    <t>TOTAL CxP</t>
  </si>
  <si>
    <t>Hacienda - IVA Octubre</t>
  </si>
  <si>
    <t>D-104 OCT/2025</t>
  </si>
  <si>
    <t>₡478,806.00 / TC ₡508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</si>
</sst>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\₡#,##0.00"/>
    <numFmt numFmtId="165" formatCode="\$#,##0.00"/>
    <numFmt numFmtId="166" formatCode="\₡#,##0"/>
    <numFmt numFmtId="167" formatCode="0.00&quot;%&quot;"/>
    <numFmt numFmtId="169" formatCode="dd/mm/yy"/>
    <numFmt numFmtId="170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0000"/>
      <name val="Calibri"/>
      <family val="2"/>
    </font>
    <font>
      <i/>
      <sz val="9"/>
      <name val="Calibri"/>
      <family val="2"/>
    </font>
    <font>
      <b/>
      <sz val="11"/>
      <color rgb="FFFF0000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b/>
      <sz val="10"/>
      <color rgb="FFFF0000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color rgb="FF0000FF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FF0000"/>
      <name val="Calibri"/>
      <family val="2"/>
    </font>
    <font>
      <b/>
      <sz val="11"/>
      <color rgb="FFFF0000"/>
      <name val="Calibri"/>
      <family val="2"/>
    </font>
    <font>
      <i/>
      <sz val="10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90EE90"/>
        <bgColor rgb="FF90EE90"/>
      </patternFill>
    </fill>
    <fill>
      <patternFill patternType="solid">
        <fgColor rgb="FFADD8E6"/>
        <bgColor rgb="FFADD8E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CE4D6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70AD47"/>
        <bgColor rgb="FF70AD47"/>
      </patternFill>
    </fill>
    <fill>
      <patternFill patternType="solid">
        <fgColor rgb="FFFFC7CE"/>
        <bgColor rgb="FFFFC7CE"/>
      </patternFill>
    </fill>
    <fill>
      <patternFill patternType="solid">
        <fgColor rgb="FFFFC000"/>
        <bgColor rgb="FFFFC000"/>
      </patternFill>
    </fill>
    <fill>
      <patternFill patternType="solid">
        <fgColor rgb="FFFFEB9C"/>
        <bgColor rgb="FFFFEB9C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/>
    <xf numFmtId="164" fontId="2" fillId="4" borderId="1" xfId="0" applyNumberFormat="1" applyFont="1" applyFill="1" applyBorder="1" applyAlignment="1">
      <alignment horizontal="left" vertical="center"/>
    </xf>
    <xf numFmtId="4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left" vertical="center"/>
    </xf>
    <xf numFmtId="0" fontId="5" fillId="0" borderId="0" xfId="0" applyFont="1"/>
    <xf numFmtId="165" fontId="5" fillId="5" borderId="0" xfId="0" applyNumberFormat="1" applyFont="1" applyFill="1"/>
    <xf numFmtId="0" fontId="6" fillId="0" borderId="0" xfId="0" applyFont="1"/>
    <xf numFmtId="166" fontId="2" fillId="4" borderId="1" xfId="0" applyNumberFormat="1" applyFont="1" applyFill="1" applyBorder="1" applyAlignment="1">
      <alignment horizontal="left" vertical="center"/>
    </xf>
    <xf numFmtId="165" fontId="2" fillId="3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right" vertical="center"/>
    </xf>
    <xf numFmtId="0" fontId="7" fillId="0" borderId="0" xfId="0" applyFont="1"/>
    <xf numFmtId="0" fontId="8" fillId="0" borderId="0" xfId="0" applyFont="1"/>
    <xf numFmtId="165" fontId="5" fillId="6" borderId="0" xfId="0" applyNumberFormat="1" applyFont="1" applyFill="1"/>
    <xf numFmtId="166" fontId="5" fillId="6" borderId="0" xfId="0" applyNumberFormat="1" applyFont="1" applyFill="1"/>
    <xf numFmtId="165" fontId="10" fillId="7" borderId="0" xfId="0" applyNumberFormat="1" applyFont="1" applyFill="1"/>
    <xf numFmtId="0" fontId="11" fillId="0" borderId="0" xfId="0" applyFont="1"/>
    <xf numFmtId="22" fontId="7" fillId="0" borderId="0" xfId="0" applyNumberFormat="1" applyFont="1"/>
    <xf numFmtId="0" fontId="5" fillId="6" borderId="0" xfId="0" applyFont="1" applyFill="1"/>
    <xf numFmtId="0" fontId="5" fillId="7" borderId="0" xfId="0" applyFont="1" applyFill="1"/>
    <xf numFmtId="165" fontId="0" fillId="0" borderId="0" xfId="0" applyNumberFormat="1"/>
    <xf numFmtId="0" fontId="13" fillId="0" borderId="0" xfId="0" applyFont="1"/>
    <xf numFmtId="164" fontId="0" fillId="0" borderId="0" xfId="0" applyNumberFormat="1"/>
    <xf numFmtId="164" fontId="2" fillId="3" borderId="1" xfId="0" applyNumberFormat="1" applyFont="1" applyFill="1" applyBorder="1" applyAlignment="1">
      <alignment horizontal="right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4" borderId="1" xfId="0" applyNumberFormat="1" applyFont="1" applyFill="1" applyBorder="1" applyAlignment="1">
      <alignment horizontal="left" vertical="center"/>
    </xf>
    <xf numFmtId="169" fontId="0" fillId="0" borderId="0" xfId="0" applyNumberFormat="1"/>
    <xf numFmtId="165" fontId="9" fillId="0" borderId="0" xfId="0" applyNumberFormat="1" applyFont="1"/>
    <xf numFmtId="169" fontId="2" fillId="3" borderId="1" xfId="0" applyNumberFormat="1" applyFont="1" applyFill="1" applyBorder="1" applyAlignment="1">
      <alignment horizontal="right" vertical="center"/>
    </xf>
    <xf numFmtId="0" fontId="16" fillId="0" borderId="0" xfId="0" applyFont="1"/>
    <xf numFmtId="0" fontId="17" fillId="8" borderId="2" xfId="0" applyFont="1" applyFill="1" applyBorder="1" applyAlignment="1">
      <alignment horizontal="center" vertical="center"/>
    </xf>
    <xf numFmtId="1" fontId="0" fillId="0" borderId="0" xfId="0" applyNumberFormat="1"/>
    <xf numFmtId="0" fontId="18" fillId="0" borderId="0" xfId="0" applyFont="1"/>
    <xf numFmtId="165" fontId="18" fillId="0" borderId="0" xfId="0" applyNumberFormat="1" applyFont="1"/>
    <xf numFmtId="0" fontId="20" fillId="0" borderId="0" xfId="0" applyFont="1"/>
    <xf numFmtId="165" fontId="0" fillId="9" borderId="0" xfId="0" applyNumberFormat="1" applyFill="1"/>
    <xf numFmtId="165" fontId="0" fillId="10" borderId="0" xfId="0" applyNumberFormat="1" applyFill="1"/>
    <xf numFmtId="0" fontId="0" fillId="9" borderId="0" xfId="0" applyFill="1"/>
    <xf numFmtId="165" fontId="18" fillId="11" borderId="0" xfId="0" applyNumberFormat="1" applyFont="1" applyFill="1"/>
    <xf numFmtId="165" fontId="18" fillId="12" borderId="0" xfId="0" applyNumberFormat="1" applyFont="1" applyFill="1"/>
    <xf numFmtId="165" fontId="0" fillId="11" borderId="0" xfId="0" applyNumberFormat="1" applyFill="1"/>
    <xf numFmtId="165" fontId="0" fillId="12" borderId="0" xfId="0" applyNumberFormat="1" applyFill="1"/>
    <xf numFmtId="0" fontId="23" fillId="0" borderId="0" xfId="0" applyFont="1"/>
    <xf numFmtId="165" fontId="23" fillId="13" borderId="0" xfId="0" applyNumberFormat="1" applyFont="1" applyFill="1"/>
    <xf numFmtId="0" fontId="18" fillId="14" borderId="0" xfId="0" applyFont="1" applyFill="1"/>
    <xf numFmtId="0" fontId="0" fillId="15" borderId="0" xfId="0" applyFill="1"/>
    <xf numFmtId="0" fontId="22" fillId="16" borderId="0" xfId="0" applyFont="1" applyFill="1"/>
    <xf numFmtId="165" fontId="24" fillId="0" borderId="0" xfId="0" applyNumberFormat="1" applyFont="1"/>
    <xf numFmtId="165" fontId="18" fillId="17" borderId="0" xfId="0" applyNumberFormat="1" applyFont="1" applyFill="1"/>
    <xf numFmtId="0" fontId="22" fillId="18" borderId="0" xfId="0" applyFont="1" applyFill="1"/>
    <xf numFmtId="165" fontId="0" fillId="17" borderId="0" xfId="0" applyNumberFormat="1" applyFill="1"/>
    <xf numFmtId="165" fontId="0" fillId="19" borderId="0" xfId="0" applyNumberFormat="1" applyFill="1"/>
    <xf numFmtId="0" fontId="22" fillId="20" borderId="0" xfId="0" applyFont="1" applyFill="1"/>
    <xf numFmtId="0" fontId="1" fillId="0" borderId="1" xfId="0" applyFont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21" borderId="0" xfId="0" applyNumberFormat="1" applyFill="1"/>
    <xf numFmtId="0" fontId="22" fillId="22" borderId="0" xfId="0" applyFont="1" applyFill="1"/>
    <xf numFmtId="0" fontId="22" fillId="23" borderId="0" xfId="0" applyFont="1" applyFill="1"/>
    <xf numFmtId="170" fontId="16" fillId="21" borderId="0" xfId="0" applyNumberFormat="1" applyFont="1" applyFill="1"/>
    <xf numFmtId="0" fontId="3" fillId="0" borderId="0" xfId="0" applyFont="1"/>
    <xf numFmtId="0" fontId="0" fillId="0" borderId="0" xfId="0"/>
    <xf numFmtId="0" fontId="9" fillId="0" borderId="0" xfId="0" applyFont="1"/>
    <xf numFmtId="0" fontId="4" fillId="0" borderId="0" xfId="0" applyFont="1"/>
    <xf numFmtId="0" fontId="6" fillId="0" borderId="0" xfId="0" applyFont="1"/>
    <xf numFmtId="0" fontId="12" fillId="0" borderId="0" xfId="0" applyFont="1" applyAlignment="1">
      <alignment horizontal="center"/>
    </xf>
    <xf numFmtId="0" fontId="7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1" fillId="0" borderId="0" xfId="0" applyFont="1"/>
    <xf numFmtId="0" fontId="22" fillId="8" borderId="0" xfId="0" applyFont="1" applyFill="1"/>
    <xf numFmtId="0" fontId="16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6"/>
  <sheetViews>
    <sheetView tabSelected="1" workbookViewId="0">
      <pane ySplit="1" topLeftCell="A176" activePane="bottomLeft" state="frozen"/>
      <selection pane="bottomLeft" activeCell="V206" sqref="V206"/>
    </sheetView>
  </sheetViews>
  <sheetFormatPr defaultRowHeight="15" x14ac:dyDescent="0.25"/>
  <cols>
    <col min="1" max="1" width="18.28515625" bestFit="1" customWidth="1"/>
    <col min="2" max="2" width="18" customWidth="1"/>
    <col min="3" max="3" width="22" customWidth="1"/>
    <col min="4" max="4" width="30" customWidth="1"/>
    <col min="5" max="5" width="28" customWidth="1"/>
    <col min="6" max="6" width="30" customWidth="1"/>
    <col min="7" max="7" width="12" customWidth="1"/>
    <col min="8" max="8" width="13.7109375" bestFit="1" customWidth="1"/>
    <col min="9" max="9" width="12" customWidth="1"/>
    <col min="10" max="10" width="10" customWidth="1"/>
    <col min="11" max="11" width="15" customWidth="1"/>
    <col min="12" max="12" width="12" customWidth="1"/>
    <col min="13" max="13" width="8" customWidth="1"/>
    <col min="14" max="14" width="15" customWidth="1"/>
    <col min="15" max="15" width="25" customWidth="1"/>
    <col min="16" max="16" width="12" customWidth="1"/>
    <col min="17" max="17" width="18.28515625" bestFit="1" customWidth="1"/>
    <col min="18" max="18" width="12" customWidth="1"/>
    <col min="19" max="19" width="15" customWidth="1"/>
    <col min="20" max="20" width="10" customWidth="1"/>
  </cols>
  <sheetData>
    <row r="1" spans="1:2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28">
        <v>45970.394962268518</v>
      </c>
      <c r="B2" s="2" t="s">
        <v>20</v>
      </c>
      <c r="C2" s="2"/>
      <c r="D2" s="2"/>
      <c r="E2" s="2" t="s">
        <v>21</v>
      </c>
      <c r="F2" s="2" t="s">
        <v>22</v>
      </c>
      <c r="G2" s="2"/>
      <c r="H2" s="5">
        <v>1536661.23</v>
      </c>
      <c r="I2" s="7">
        <v>3030.89</v>
      </c>
      <c r="J2" s="5">
        <v>508</v>
      </c>
      <c r="K2" s="2"/>
      <c r="L2" s="2" t="s">
        <v>23</v>
      </c>
      <c r="M2" s="2"/>
      <c r="N2" s="2"/>
      <c r="O2" s="2"/>
      <c r="P2" s="2" t="s">
        <v>24</v>
      </c>
      <c r="Q2" s="31">
        <v>45973.796665543981</v>
      </c>
      <c r="S2" s="3" t="str">
        <f>IF(
COUNTIFS(
$A:$A, A2,
$E:$E, E2,
$I:$I, I2
) &gt; 1,
"⚠️ POSIBLE DUPLICADO",
""
)</f>
        <v/>
      </c>
      <c r="T2" s="3">
        <f>ROW()-1</f>
        <v>1</v>
      </c>
    </row>
    <row r="3" spans="1:20" x14ac:dyDescent="0.25">
      <c r="A3" s="29">
        <v>45970.394962268518</v>
      </c>
      <c r="B3" t="s">
        <v>25</v>
      </c>
      <c r="E3" t="s">
        <v>26</v>
      </c>
      <c r="F3" t="s">
        <v>22</v>
      </c>
      <c r="H3" s="25">
        <v>629121.09</v>
      </c>
      <c r="I3" s="23">
        <v>1240.8699999999999</v>
      </c>
      <c r="J3" s="25">
        <v>508</v>
      </c>
      <c r="L3" t="s">
        <v>23</v>
      </c>
      <c r="P3" t="s">
        <v>24</v>
      </c>
      <c r="Q3" s="29">
        <v>45973.796665543981</v>
      </c>
    </row>
    <row r="4" spans="1:20" x14ac:dyDescent="0.25">
      <c r="A4" s="29">
        <v>45970.394962268518</v>
      </c>
      <c r="B4" t="s">
        <v>25</v>
      </c>
      <c r="E4" t="s">
        <v>27</v>
      </c>
      <c r="F4" t="s">
        <v>22</v>
      </c>
      <c r="H4" s="25">
        <v>1090.05</v>
      </c>
      <c r="I4" s="23">
        <v>2.15</v>
      </c>
      <c r="J4" s="25">
        <v>508</v>
      </c>
      <c r="L4" t="s">
        <v>23</v>
      </c>
      <c r="P4" t="s">
        <v>24</v>
      </c>
      <c r="Q4" s="29">
        <v>45973.796665543981</v>
      </c>
    </row>
    <row r="5" spans="1:20" x14ac:dyDescent="0.25">
      <c r="A5" s="29">
        <v>45970.394962268518</v>
      </c>
      <c r="B5" t="s">
        <v>25</v>
      </c>
      <c r="E5" t="s">
        <v>28</v>
      </c>
      <c r="F5" t="s">
        <v>22</v>
      </c>
      <c r="H5" s="25">
        <v>30338.880000000001</v>
      </c>
      <c r="I5" s="23">
        <v>59.84</v>
      </c>
      <c r="J5" s="25">
        <v>508</v>
      </c>
      <c r="L5" t="s">
        <v>23</v>
      </c>
      <c r="P5" t="s">
        <v>24</v>
      </c>
      <c r="Q5" s="29">
        <v>45973.796665543981</v>
      </c>
    </row>
    <row r="6" spans="1:20" x14ac:dyDescent="0.25">
      <c r="A6" s="29">
        <v>45970.394962268518</v>
      </c>
      <c r="B6" t="s">
        <v>25</v>
      </c>
      <c r="E6" t="s">
        <v>29</v>
      </c>
      <c r="F6" t="s">
        <v>22</v>
      </c>
      <c r="H6" s="25">
        <v>510072.42</v>
      </c>
      <c r="I6" s="23">
        <v>1006.06</v>
      </c>
      <c r="J6" s="25">
        <v>508</v>
      </c>
      <c r="L6" t="s">
        <v>23</v>
      </c>
      <c r="P6" t="s">
        <v>24</v>
      </c>
      <c r="Q6" s="29">
        <v>45973.796665543981</v>
      </c>
    </row>
    <row r="7" spans="1:20" x14ac:dyDescent="0.25">
      <c r="A7" s="29">
        <v>45970.394962268518</v>
      </c>
      <c r="B7" t="s">
        <v>25</v>
      </c>
      <c r="E7" t="s">
        <v>30</v>
      </c>
      <c r="F7" t="s">
        <v>22</v>
      </c>
      <c r="H7" s="25">
        <v>1147417.05</v>
      </c>
      <c r="I7" s="23">
        <v>2263.15</v>
      </c>
      <c r="J7" s="25">
        <v>508</v>
      </c>
      <c r="L7" t="s">
        <v>23</v>
      </c>
      <c r="P7" t="s">
        <v>24</v>
      </c>
      <c r="Q7" s="29">
        <v>45973.796665543981</v>
      </c>
    </row>
    <row r="8" spans="1:20" x14ac:dyDescent="0.25">
      <c r="A8" s="29">
        <v>45970.394962268518</v>
      </c>
      <c r="B8" t="s">
        <v>25</v>
      </c>
      <c r="E8" t="s">
        <v>31</v>
      </c>
      <c r="F8" t="s">
        <v>22</v>
      </c>
      <c r="H8" s="25">
        <v>114293.01</v>
      </c>
      <c r="I8" s="23">
        <v>225.43</v>
      </c>
      <c r="J8" s="25">
        <v>508</v>
      </c>
      <c r="L8" t="s">
        <v>23</v>
      </c>
      <c r="P8" t="s">
        <v>24</v>
      </c>
      <c r="Q8" s="29">
        <v>45973.796665543981</v>
      </c>
    </row>
    <row r="9" spans="1:20" x14ac:dyDescent="0.25">
      <c r="A9" s="29">
        <v>45970.394962268518</v>
      </c>
      <c r="B9" t="s">
        <v>25</v>
      </c>
      <c r="E9" t="s">
        <v>32</v>
      </c>
      <c r="F9" t="s">
        <v>22</v>
      </c>
      <c r="H9" s="25">
        <v>2311580.31</v>
      </c>
      <c r="I9" s="23">
        <v>4559.33</v>
      </c>
      <c r="J9" s="25">
        <v>508</v>
      </c>
      <c r="L9" t="s">
        <v>23</v>
      </c>
      <c r="P9" t="s">
        <v>24</v>
      </c>
      <c r="Q9" s="29">
        <v>45973.796665543981</v>
      </c>
    </row>
    <row r="10" spans="1:20" x14ac:dyDescent="0.25">
      <c r="A10" s="29">
        <v>45970.394962280086</v>
      </c>
      <c r="B10" t="s">
        <v>33</v>
      </c>
      <c r="E10" t="s">
        <v>34</v>
      </c>
      <c r="F10" t="s">
        <v>35</v>
      </c>
      <c r="H10" s="25">
        <v>1419600</v>
      </c>
      <c r="I10" s="23">
        <v>2800</v>
      </c>
      <c r="J10" s="25">
        <v>508</v>
      </c>
      <c r="L10" t="s">
        <v>36</v>
      </c>
      <c r="P10" t="s">
        <v>24</v>
      </c>
      <c r="Q10" s="29">
        <v>45973.796665543981</v>
      </c>
    </row>
    <row r="11" spans="1:20" x14ac:dyDescent="0.25">
      <c r="A11" s="29">
        <v>45970.394962280086</v>
      </c>
      <c r="B11" t="s">
        <v>33</v>
      </c>
      <c r="E11" t="s">
        <v>34</v>
      </c>
      <c r="F11" t="s">
        <v>37</v>
      </c>
      <c r="H11" s="25">
        <v>856343.28</v>
      </c>
      <c r="I11" s="23">
        <v>1689.04</v>
      </c>
      <c r="J11" s="25">
        <v>508</v>
      </c>
      <c r="L11" t="s">
        <v>36</v>
      </c>
      <c r="P11" t="s">
        <v>24</v>
      </c>
      <c r="Q11" s="29">
        <v>45973.796665543981</v>
      </c>
    </row>
    <row r="12" spans="1:20" x14ac:dyDescent="0.25">
      <c r="A12" s="29">
        <v>45970.394962280086</v>
      </c>
      <c r="B12" t="s">
        <v>33</v>
      </c>
      <c r="E12" t="s">
        <v>34</v>
      </c>
      <c r="F12" t="s">
        <v>38</v>
      </c>
      <c r="H12" s="25">
        <v>385852.35</v>
      </c>
      <c r="I12" s="23">
        <v>761.05</v>
      </c>
      <c r="J12" s="25">
        <v>508</v>
      </c>
      <c r="L12" t="s">
        <v>36</v>
      </c>
      <c r="P12" t="s">
        <v>24</v>
      </c>
      <c r="Q12" s="29">
        <v>45973.796665543981</v>
      </c>
    </row>
    <row r="13" spans="1:20" x14ac:dyDescent="0.25">
      <c r="A13" s="29">
        <v>45970.394962280086</v>
      </c>
      <c r="B13" t="s">
        <v>33</v>
      </c>
      <c r="E13" t="s">
        <v>34</v>
      </c>
      <c r="F13" t="s">
        <v>39</v>
      </c>
      <c r="H13" s="25">
        <v>350620.92</v>
      </c>
      <c r="I13" s="23">
        <v>691.56</v>
      </c>
      <c r="J13" s="25">
        <v>508</v>
      </c>
      <c r="L13" t="s">
        <v>36</v>
      </c>
      <c r="P13" t="s">
        <v>24</v>
      </c>
      <c r="Q13" s="29">
        <v>45973.796665543981</v>
      </c>
    </row>
    <row r="14" spans="1:20" x14ac:dyDescent="0.25">
      <c r="A14" s="29">
        <v>45970.394962280086</v>
      </c>
      <c r="B14" t="s">
        <v>33</v>
      </c>
      <c r="E14" t="s">
        <v>34</v>
      </c>
      <c r="F14" t="s">
        <v>40</v>
      </c>
      <c r="H14" s="25">
        <v>348445.89</v>
      </c>
      <c r="I14" s="23">
        <v>687.27</v>
      </c>
      <c r="J14" s="25">
        <v>508</v>
      </c>
      <c r="L14" t="s">
        <v>36</v>
      </c>
      <c r="P14" t="s">
        <v>24</v>
      </c>
      <c r="Q14" s="29">
        <v>45973.796665543981</v>
      </c>
    </row>
    <row r="15" spans="1:20" x14ac:dyDescent="0.25">
      <c r="A15" s="29">
        <v>45970.394962280086</v>
      </c>
      <c r="B15" t="s">
        <v>33</v>
      </c>
      <c r="E15" t="s">
        <v>34</v>
      </c>
      <c r="F15" t="s">
        <v>41</v>
      </c>
      <c r="H15" s="25">
        <v>348334.35</v>
      </c>
      <c r="I15" s="23">
        <v>687.05</v>
      </c>
      <c r="J15" s="25">
        <v>508</v>
      </c>
      <c r="L15" t="s">
        <v>36</v>
      </c>
      <c r="P15" t="s">
        <v>24</v>
      </c>
      <c r="Q15" s="29">
        <v>45973.796665543981</v>
      </c>
    </row>
    <row r="16" spans="1:20" x14ac:dyDescent="0.25">
      <c r="A16" s="29">
        <v>45970.394962280086</v>
      </c>
      <c r="B16" t="s">
        <v>33</v>
      </c>
      <c r="E16" t="s">
        <v>34</v>
      </c>
      <c r="F16" t="s">
        <v>42</v>
      </c>
      <c r="H16" s="25">
        <v>250711.5</v>
      </c>
      <c r="I16" s="23">
        <v>494.5</v>
      </c>
      <c r="J16" s="25">
        <v>508</v>
      </c>
      <c r="L16" t="s">
        <v>36</v>
      </c>
      <c r="P16" t="s">
        <v>24</v>
      </c>
      <c r="Q16" s="29">
        <v>45973.796665543981</v>
      </c>
    </row>
    <row r="17" spans="1:17" x14ac:dyDescent="0.25">
      <c r="A17" s="29">
        <v>45970.394962280086</v>
      </c>
      <c r="B17" t="s">
        <v>33</v>
      </c>
      <c r="E17" t="s">
        <v>34</v>
      </c>
      <c r="F17" t="s">
        <v>43</v>
      </c>
      <c r="H17" s="25">
        <v>222882.27</v>
      </c>
      <c r="I17" s="23">
        <v>439.61</v>
      </c>
      <c r="J17" s="25">
        <v>508</v>
      </c>
      <c r="L17" t="s">
        <v>36</v>
      </c>
      <c r="P17" t="s">
        <v>24</v>
      </c>
      <c r="Q17" s="29">
        <v>45973.796665543981</v>
      </c>
    </row>
    <row r="18" spans="1:17" x14ac:dyDescent="0.25">
      <c r="A18" s="29">
        <v>45970.394962280086</v>
      </c>
      <c r="B18" t="s">
        <v>33</v>
      </c>
      <c r="E18" t="s">
        <v>34</v>
      </c>
      <c r="F18" t="s">
        <v>44</v>
      </c>
      <c r="H18" s="25">
        <v>191823.45</v>
      </c>
      <c r="I18" s="23">
        <v>378.35</v>
      </c>
      <c r="J18" s="25">
        <v>508</v>
      </c>
      <c r="L18" t="s">
        <v>36</v>
      </c>
      <c r="P18" t="s">
        <v>24</v>
      </c>
      <c r="Q18" s="29">
        <v>45973.796665543981</v>
      </c>
    </row>
    <row r="19" spans="1:17" x14ac:dyDescent="0.25">
      <c r="A19" s="29">
        <v>45970.394962280086</v>
      </c>
      <c r="B19" t="s">
        <v>33</v>
      </c>
      <c r="E19" t="s">
        <v>34</v>
      </c>
      <c r="F19" t="s">
        <v>45</v>
      </c>
      <c r="H19" s="25">
        <v>169297.44</v>
      </c>
      <c r="I19" s="23">
        <v>333.92</v>
      </c>
      <c r="J19" s="25">
        <v>508</v>
      </c>
      <c r="L19" t="s">
        <v>36</v>
      </c>
      <c r="P19" t="s">
        <v>24</v>
      </c>
      <c r="Q19" s="29">
        <v>45973.796665543981</v>
      </c>
    </row>
    <row r="20" spans="1:17" x14ac:dyDescent="0.25">
      <c r="A20" s="29">
        <v>45970.394962280086</v>
      </c>
      <c r="B20" t="s">
        <v>33</v>
      </c>
      <c r="E20" t="s">
        <v>34</v>
      </c>
      <c r="F20" t="s">
        <v>46</v>
      </c>
      <c r="H20" s="25">
        <v>169008.45</v>
      </c>
      <c r="I20" s="23">
        <v>333.35</v>
      </c>
      <c r="J20" s="25">
        <v>508</v>
      </c>
      <c r="L20" t="s">
        <v>36</v>
      </c>
      <c r="P20" t="s">
        <v>24</v>
      </c>
      <c r="Q20" s="29">
        <v>45973.796665543981</v>
      </c>
    </row>
    <row r="21" spans="1:17" x14ac:dyDescent="0.25">
      <c r="A21" s="29">
        <v>45970.394962280086</v>
      </c>
      <c r="B21" t="s">
        <v>33</v>
      </c>
      <c r="E21" t="s">
        <v>34</v>
      </c>
      <c r="F21" t="s">
        <v>47</v>
      </c>
      <c r="H21" s="25">
        <v>143227.5</v>
      </c>
      <c r="I21" s="23">
        <v>282.5</v>
      </c>
      <c r="J21" s="25">
        <v>508</v>
      </c>
      <c r="L21" t="s">
        <v>36</v>
      </c>
      <c r="P21" t="s">
        <v>24</v>
      </c>
      <c r="Q21" s="29">
        <v>45973.796665543981</v>
      </c>
    </row>
    <row r="22" spans="1:17" x14ac:dyDescent="0.25">
      <c r="A22" s="29">
        <v>45970.394962280086</v>
      </c>
      <c r="B22" t="s">
        <v>33</v>
      </c>
      <c r="E22" t="s">
        <v>34</v>
      </c>
      <c r="F22" t="s">
        <v>48</v>
      </c>
      <c r="H22" s="25">
        <v>140362.95000000001</v>
      </c>
      <c r="I22" s="23">
        <v>276.85000000000002</v>
      </c>
      <c r="J22" s="25">
        <v>508</v>
      </c>
      <c r="L22" t="s">
        <v>36</v>
      </c>
      <c r="P22" t="s">
        <v>24</v>
      </c>
      <c r="Q22" s="29">
        <v>45973.796665543981</v>
      </c>
    </row>
    <row r="23" spans="1:17" x14ac:dyDescent="0.25">
      <c r="A23" s="29">
        <v>45970.394962280086</v>
      </c>
      <c r="B23" t="s">
        <v>33</v>
      </c>
      <c r="E23" t="s">
        <v>34</v>
      </c>
      <c r="F23" t="s">
        <v>49</v>
      </c>
      <c r="H23" s="25">
        <v>105993.42</v>
      </c>
      <c r="I23" s="23">
        <v>209.06</v>
      </c>
      <c r="J23" s="25">
        <v>508</v>
      </c>
      <c r="L23" t="s">
        <v>36</v>
      </c>
      <c r="P23" t="s">
        <v>24</v>
      </c>
      <c r="Q23" s="29">
        <v>45973.796665543981</v>
      </c>
    </row>
    <row r="24" spans="1:17" x14ac:dyDescent="0.25">
      <c r="A24" s="29">
        <v>45970.394962280086</v>
      </c>
      <c r="B24" t="s">
        <v>33</v>
      </c>
      <c r="E24" t="s">
        <v>34</v>
      </c>
      <c r="F24" t="s">
        <v>50</v>
      </c>
      <c r="H24" s="25">
        <v>93100.41</v>
      </c>
      <c r="I24" s="23">
        <v>183.63</v>
      </c>
      <c r="J24" s="25">
        <v>508</v>
      </c>
      <c r="L24" t="s">
        <v>36</v>
      </c>
      <c r="P24" t="s">
        <v>24</v>
      </c>
      <c r="Q24" s="29">
        <v>45973.796665543981</v>
      </c>
    </row>
    <row r="25" spans="1:17" x14ac:dyDescent="0.25">
      <c r="A25" s="29">
        <v>45970.394962280086</v>
      </c>
      <c r="B25" t="s">
        <v>33</v>
      </c>
      <c r="E25" t="s">
        <v>34</v>
      </c>
      <c r="F25" t="s">
        <v>51</v>
      </c>
      <c r="H25" s="25">
        <v>85936.5</v>
      </c>
      <c r="I25" s="23">
        <v>169.5</v>
      </c>
      <c r="J25" s="25">
        <v>508</v>
      </c>
      <c r="L25" t="s">
        <v>36</v>
      </c>
      <c r="P25" t="s">
        <v>24</v>
      </c>
      <c r="Q25" s="29">
        <v>45973.796665543981</v>
      </c>
    </row>
    <row r="26" spans="1:17" x14ac:dyDescent="0.25">
      <c r="A26" s="29">
        <v>45970.394962280086</v>
      </c>
      <c r="B26" t="s">
        <v>33</v>
      </c>
      <c r="E26" t="s">
        <v>34</v>
      </c>
      <c r="F26" t="s">
        <v>52</v>
      </c>
      <c r="H26" s="25">
        <v>57291</v>
      </c>
      <c r="I26" s="23">
        <v>113</v>
      </c>
      <c r="J26" s="25">
        <v>508</v>
      </c>
      <c r="L26" t="s">
        <v>36</v>
      </c>
      <c r="P26" t="s">
        <v>24</v>
      </c>
      <c r="Q26" s="29">
        <v>45973.796665543981</v>
      </c>
    </row>
    <row r="27" spans="1:17" x14ac:dyDescent="0.25">
      <c r="A27" s="29">
        <v>45970.394962280086</v>
      </c>
      <c r="B27" t="s">
        <v>33</v>
      </c>
      <c r="E27" t="s">
        <v>34</v>
      </c>
      <c r="F27" t="s">
        <v>53</v>
      </c>
      <c r="H27" s="25">
        <v>57291</v>
      </c>
      <c r="I27" s="23">
        <v>113</v>
      </c>
      <c r="J27" s="25">
        <v>508</v>
      </c>
      <c r="L27" t="s">
        <v>36</v>
      </c>
      <c r="P27" t="s">
        <v>24</v>
      </c>
      <c r="Q27" s="29">
        <v>45973.796665543981</v>
      </c>
    </row>
    <row r="28" spans="1:17" x14ac:dyDescent="0.25">
      <c r="A28" s="29">
        <v>45970.394962280086</v>
      </c>
      <c r="B28" t="s">
        <v>33</v>
      </c>
      <c r="E28" t="s">
        <v>34</v>
      </c>
      <c r="F28" t="s">
        <v>54</v>
      </c>
      <c r="H28" s="25">
        <v>34374.6</v>
      </c>
      <c r="I28" s="23">
        <v>67.8</v>
      </c>
      <c r="J28" s="25">
        <v>508</v>
      </c>
      <c r="L28" t="s">
        <v>36</v>
      </c>
      <c r="P28" t="s">
        <v>24</v>
      </c>
      <c r="Q28" s="29">
        <v>45973.796665543981</v>
      </c>
    </row>
    <row r="29" spans="1:17" x14ac:dyDescent="0.25">
      <c r="A29" s="29">
        <v>45970.39496229167</v>
      </c>
      <c r="B29" t="s">
        <v>33</v>
      </c>
      <c r="E29" t="s">
        <v>34</v>
      </c>
      <c r="F29" t="s">
        <v>55</v>
      </c>
      <c r="H29" s="25">
        <v>28645.5</v>
      </c>
      <c r="I29" s="23">
        <v>56.5</v>
      </c>
      <c r="J29" s="25">
        <v>508</v>
      </c>
      <c r="L29" t="s">
        <v>36</v>
      </c>
      <c r="P29" t="s">
        <v>24</v>
      </c>
      <c r="Q29" s="29">
        <v>45973.796665543981</v>
      </c>
    </row>
    <row r="30" spans="1:17" x14ac:dyDescent="0.25">
      <c r="A30" s="29">
        <v>45970.39496229167</v>
      </c>
      <c r="B30" t="s">
        <v>33</v>
      </c>
      <c r="E30" t="s">
        <v>34</v>
      </c>
      <c r="F30" t="s">
        <v>56</v>
      </c>
      <c r="H30" s="25">
        <v>28645.5</v>
      </c>
      <c r="I30" s="23">
        <v>56.5</v>
      </c>
      <c r="J30" s="25">
        <v>508</v>
      </c>
      <c r="L30" t="s">
        <v>36</v>
      </c>
      <c r="P30" t="s">
        <v>24</v>
      </c>
      <c r="Q30" s="29">
        <v>45973.796665543981</v>
      </c>
    </row>
    <row r="31" spans="1:17" x14ac:dyDescent="0.25">
      <c r="A31" s="29">
        <v>45970.39496229167</v>
      </c>
      <c r="B31" t="s">
        <v>33</v>
      </c>
      <c r="E31" t="s">
        <v>34</v>
      </c>
      <c r="F31" t="s">
        <v>57</v>
      </c>
      <c r="H31" s="25">
        <v>21486.66</v>
      </c>
      <c r="I31" s="23">
        <v>42.38</v>
      </c>
      <c r="J31" s="25">
        <v>508</v>
      </c>
      <c r="L31" t="s">
        <v>36</v>
      </c>
      <c r="P31" t="s">
        <v>24</v>
      </c>
      <c r="Q31" s="29">
        <v>45973.796665543981</v>
      </c>
    </row>
    <row r="32" spans="1:17" x14ac:dyDescent="0.25">
      <c r="A32" s="29">
        <v>45970.39496229167</v>
      </c>
      <c r="B32" t="s">
        <v>58</v>
      </c>
      <c r="E32" t="s">
        <v>59</v>
      </c>
      <c r="F32" t="s">
        <v>60</v>
      </c>
      <c r="H32" s="25">
        <v>207915.63</v>
      </c>
      <c r="I32" s="23">
        <v>410.09</v>
      </c>
      <c r="J32" s="25">
        <v>508</v>
      </c>
      <c r="L32" t="s">
        <v>36</v>
      </c>
      <c r="P32" t="s">
        <v>24</v>
      </c>
      <c r="Q32" s="29">
        <v>45973.796665543981</v>
      </c>
    </row>
    <row r="33" spans="1:17" x14ac:dyDescent="0.25">
      <c r="A33" s="29">
        <v>45970.39496229167</v>
      </c>
      <c r="B33" t="s">
        <v>58</v>
      </c>
      <c r="E33" t="s">
        <v>59</v>
      </c>
      <c r="F33" t="s">
        <v>61</v>
      </c>
      <c r="H33" s="25">
        <v>22343.49</v>
      </c>
      <c r="I33" s="23">
        <v>44.07</v>
      </c>
      <c r="J33" s="25">
        <v>508</v>
      </c>
      <c r="L33" t="s">
        <v>36</v>
      </c>
      <c r="P33" t="s">
        <v>24</v>
      </c>
      <c r="Q33" s="29">
        <v>45973.796665543981</v>
      </c>
    </row>
    <row r="34" spans="1:17" x14ac:dyDescent="0.25">
      <c r="A34" s="29">
        <v>45970.39496229167</v>
      </c>
      <c r="B34" t="s">
        <v>62</v>
      </c>
      <c r="E34" t="s">
        <v>63</v>
      </c>
      <c r="F34" t="s">
        <v>64</v>
      </c>
      <c r="H34" s="25">
        <v>-604567.08000000007</v>
      </c>
      <c r="I34" s="23">
        <v>-1192.44</v>
      </c>
      <c r="J34" s="25">
        <v>508</v>
      </c>
      <c r="L34" t="s">
        <v>36</v>
      </c>
      <c r="P34" t="s">
        <v>24</v>
      </c>
      <c r="Q34" s="29">
        <v>45973.796665543981</v>
      </c>
    </row>
    <row r="35" spans="1:17" x14ac:dyDescent="0.25">
      <c r="A35" s="29">
        <v>45970.39496229167</v>
      </c>
      <c r="B35" t="s">
        <v>62</v>
      </c>
      <c r="E35" t="s">
        <v>65</v>
      </c>
      <c r="F35" t="s">
        <v>64</v>
      </c>
      <c r="H35" s="25">
        <v>-2930155.8</v>
      </c>
      <c r="I35" s="23">
        <v>-5779.4</v>
      </c>
      <c r="J35" s="25">
        <v>508</v>
      </c>
      <c r="L35" t="s">
        <v>36</v>
      </c>
      <c r="P35" t="s">
        <v>24</v>
      </c>
      <c r="Q35" s="29">
        <v>45973.796665543981</v>
      </c>
    </row>
    <row r="36" spans="1:17" x14ac:dyDescent="0.25">
      <c r="A36" s="29">
        <v>45970.39496229167</v>
      </c>
      <c r="B36" t="s">
        <v>62</v>
      </c>
      <c r="E36" t="s">
        <v>66</v>
      </c>
      <c r="F36" t="s">
        <v>64</v>
      </c>
      <c r="H36" s="25">
        <v>-299991.90000000002</v>
      </c>
      <c r="I36" s="23">
        <v>-591.70000000000005</v>
      </c>
      <c r="J36" s="25">
        <v>508</v>
      </c>
      <c r="L36" t="s">
        <v>36</v>
      </c>
      <c r="P36" t="s">
        <v>24</v>
      </c>
      <c r="Q36" s="29">
        <v>45973.796665543981</v>
      </c>
    </row>
    <row r="37" spans="1:17" x14ac:dyDescent="0.25">
      <c r="A37" s="29">
        <v>45970.39496229167</v>
      </c>
      <c r="B37" t="s">
        <v>62</v>
      </c>
      <c r="E37" t="s">
        <v>67</v>
      </c>
      <c r="F37" t="s">
        <v>64</v>
      </c>
      <c r="H37" s="25">
        <v>-2905860.36</v>
      </c>
      <c r="I37" s="23">
        <v>-5731.48</v>
      </c>
      <c r="J37" s="25">
        <v>508</v>
      </c>
      <c r="L37" t="s">
        <v>36</v>
      </c>
      <c r="P37" t="s">
        <v>24</v>
      </c>
      <c r="Q37" s="29">
        <v>45973.796665543981</v>
      </c>
    </row>
    <row r="38" spans="1:17" x14ac:dyDescent="0.25">
      <c r="A38" s="29">
        <v>45970.39496229167</v>
      </c>
      <c r="B38" t="s">
        <v>62</v>
      </c>
      <c r="E38" t="s">
        <v>68</v>
      </c>
      <c r="F38" t="s">
        <v>69</v>
      </c>
      <c r="H38" s="25">
        <v>-1565448.69</v>
      </c>
      <c r="I38" s="23">
        <v>-3087.67</v>
      </c>
      <c r="J38" s="25">
        <v>508</v>
      </c>
      <c r="L38" t="s">
        <v>36</v>
      </c>
      <c r="P38" t="s">
        <v>24</v>
      </c>
      <c r="Q38" s="29">
        <v>45973.796665543981</v>
      </c>
    </row>
    <row r="39" spans="1:17" x14ac:dyDescent="0.25">
      <c r="A39" s="29">
        <v>45970.967263645827</v>
      </c>
      <c r="B39" t="s">
        <v>33</v>
      </c>
      <c r="E39" t="s">
        <v>21</v>
      </c>
      <c r="F39" t="s">
        <v>70</v>
      </c>
      <c r="H39" s="25">
        <v>0</v>
      </c>
      <c r="I39" s="23">
        <v>-39.590000000000003</v>
      </c>
      <c r="J39" s="25">
        <v>508</v>
      </c>
      <c r="L39" t="s">
        <v>71</v>
      </c>
      <c r="P39" t="s">
        <v>24</v>
      </c>
      <c r="Q39" s="29">
        <v>45973.796665543981</v>
      </c>
    </row>
    <row r="40" spans="1:17" x14ac:dyDescent="0.25">
      <c r="A40" s="29">
        <v>45970.967263645827</v>
      </c>
      <c r="B40" t="s">
        <v>33</v>
      </c>
      <c r="E40" t="s">
        <v>21</v>
      </c>
      <c r="F40" t="s">
        <v>70</v>
      </c>
      <c r="H40" s="25">
        <v>0</v>
      </c>
      <c r="I40" s="23">
        <v>-189.73</v>
      </c>
      <c r="J40" s="25">
        <v>508</v>
      </c>
      <c r="L40" t="s">
        <v>71</v>
      </c>
      <c r="P40" t="s">
        <v>24</v>
      </c>
      <c r="Q40" s="29">
        <v>45973.796665543981</v>
      </c>
    </row>
    <row r="41" spans="1:17" x14ac:dyDescent="0.25">
      <c r="A41" s="29">
        <v>45970.967263645827</v>
      </c>
      <c r="B41" t="s">
        <v>33</v>
      </c>
      <c r="E41" t="s">
        <v>21</v>
      </c>
      <c r="F41" t="s">
        <v>72</v>
      </c>
      <c r="H41" s="25">
        <v>0</v>
      </c>
      <c r="I41" s="23">
        <v>-392.68</v>
      </c>
      <c r="J41" s="25">
        <v>508</v>
      </c>
      <c r="L41" t="s">
        <v>71</v>
      </c>
      <c r="P41" t="s">
        <v>24</v>
      </c>
      <c r="Q41" s="29">
        <v>45973.796665543981</v>
      </c>
    </row>
    <row r="42" spans="1:17" x14ac:dyDescent="0.25">
      <c r="A42" s="29">
        <v>45970.967263645827</v>
      </c>
      <c r="B42" t="s">
        <v>73</v>
      </c>
      <c r="E42" t="s">
        <v>21</v>
      </c>
      <c r="F42" t="s">
        <v>74</v>
      </c>
      <c r="H42" s="25">
        <v>0</v>
      </c>
      <c r="I42" s="23">
        <v>56.5</v>
      </c>
      <c r="J42" s="25">
        <v>508</v>
      </c>
      <c r="L42" t="s">
        <v>71</v>
      </c>
      <c r="P42" t="s">
        <v>24</v>
      </c>
      <c r="Q42" s="29">
        <v>45973.796665555557</v>
      </c>
    </row>
    <row r="43" spans="1:17" x14ac:dyDescent="0.25">
      <c r="A43" s="29">
        <v>45970.967263645827</v>
      </c>
      <c r="B43" t="s">
        <v>73</v>
      </c>
      <c r="E43" t="s">
        <v>21</v>
      </c>
      <c r="F43" t="s">
        <v>56</v>
      </c>
      <c r="H43" s="25">
        <v>0</v>
      </c>
      <c r="I43" s="23">
        <v>56.5</v>
      </c>
      <c r="J43" s="25">
        <v>508</v>
      </c>
      <c r="L43" t="s">
        <v>71</v>
      </c>
      <c r="P43" t="s">
        <v>24</v>
      </c>
      <c r="Q43" s="29">
        <v>45973.796665555557</v>
      </c>
    </row>
    <row r="44" spans="1:17" x14ac:dyDescent="0.25">
      <c r="A44" s="29">
        <v>45970.967263645827</v>
      </c>
      <c r="B44" t="s">
        <v>73</v>
      </c>
      <c r="E44" t="s">
        <v>21</v>
      </c>
      <c r="F44" t="s">
        <v>42</v>
      </c>
      <c r="H44" s="25">
        <v>0</v>
      </c>
      <c r="I44" s="23">
        <v>356.5</v>
      </c>
      <c r="J44" s="25">
        <v>508</v>
      </c>
      <c r="L44" t="s">
        <v>71</v>
      </c>
      <c r="P44" t="s">
        <v>24</v>
      </c>
      <c r="Q44" s="29">
        <v>45973.796665555557</v>
      </c>
    </row>
    <row r="45" spans="1:17" x14ac:dyDescent="0.25">
      <c r="A45" s="29">
        <v>45970.967263645827</v>
      </c>
      <c r="B45" t="s">
        <v>73</v>
      </c>
      <c r="E45" t="s">
        <v>21</v>
      </c>
      <c r="F45" t="s">
        <v>75</v>
      </c>
      <c r="H45" s="25">
        <v>0</v>
      </c>
      <c r="I45" s="23">
        <v>1237.3499999999999</v>
      </c>
      <c r="J45" s="25">
        <v>508</v>
      </c>
      <c r="L45" t="s">
        <v>71</v>
      </c>
      <c r="P45" t="s">
        <v>24</v>
      </c>
      <c r="Q45" s="29">
        <v>45973.796665555557</v>
      </c>
    </row>
    <row r="46" spans="1:17" x14ac:dyDescent="0.25">
      <c r="A46" s="29">
        <v>45970.967263645827</v>
      </c>
      <c r="B46" t="s">
        <v>62</v>
      </c>
      <c r="E46" t="s">
        <v>21</v>
      </c>
      <c r="F46" t="s">
        <v>76</v>
      </c>
      <c r="H46" s="25">
        <v>0</v>
      </c>
      <c r="I46" s="23">
        <v>-3</v>
      </c>
      <c r="J46" s="25">
        <v>508</v>
      </c>
      <c r="L46" t="s">
        <v>71</v>
      </c>
      <c r="P46" t="s">
        <v>24</v>
      </c>
      <c r="Q46" s="29">
        <v>45973.796665555557</v>
      </c>
    </row>
    <row r="47" spans="1:17" x14ac:dyDescent="0.25">
      <c r="A47" s="29">
        <v>45970.967263645827</v>
      </c>
      <c r="B47" t="s">
        <v>62</v>
      </c>
      <c r="E47" t="s">
        <v>21</v>
      </c>
      <c r="F47" t="s">
        <v>77</v>
      </c>
      <c r="H47" s="25">
        <v>0</v>
      </c>
      <c r="I47" s="23">
        <v>-305.5</v>
      </c>
      <c r="J47" s="25">
        <v>508</v>
      </c>
      <c r="L47" t="s">
        <v>71</v>
      </c>
      <c r="P47" t="s">
        <v>24</v>
      </c>
      <c r="Q47" s="29">
        <v>45973.796665555557</v>
      </c>
    </row>
    <row r="48" spans="1:17" x14ac:dyDescent="0.25">
      <c r="A48" s="29">
        <v>45970.967263645827</v>
      </c>
      <c r="B48" t="s">
        <v>62</v>
      </c>
      <c r="E48" t="s">
        <v>21</v>
      </c>
      <c r="F48" t="s">
        <v>76</v>
      </c>
      <c r="H48" s="25">
        <v>0</v>
      </c>
      <c r="I48" s="23">
        <v>-3</v>
      </c>
      <c r="J48" s="25">
        <v>508</v>
      </c>
      <c r="L48" t="s">
        <v>71</v>
      </c>
      <c r="P48" t="s">
        <v>24</v>
      </c>
      <c r="Q48" s="29">
        <v>45973.796665555557</v>
      </c>
    </row>
    <row r="49" spans="1:17" x14ac:dyDescent="0.25">
      <c r="A49" s="29">
        <v>45970.967263657411</v>
      </c>
      <c r="B49" t="s">
        <v>62</v>
      </c>
      <c r="E49" t="s">
        <v>21</v>
      </c>
      <c r="F49" t="s">
        <v>77</v>
      </c>
      <c r="H49" s="25">
        <v>0</v>
      </c>
      <c r="I49" s="23">
        <v>-101.83</v>
      </c>
      <c r="J49" s="25">
        <v>508</v>
      </c>
      <c r="L49" t="s">
        <v>71</v>
      </c>
      <c r="P49" t="s">
        <v>24</v>
      </c>
      <c r="Q49" s="29">
        <v>45973.796665555557</v>
      </c>
    </row>
    <row r="50" spans="1:17" x14ac:dyDescent="0.25">
      <c r="A50" s="29">
        <v>45970.967263657411</v>
      </c>
      <c r="B50" t="s">
        <v>62</v>
      </c>
      <c r="E50" t="s">
        <v>21</v>
      </c>
      <c r="F50" t="s">
        <v>76</v>
      </c>
      <c r="H50" s="25">
        <v>0</v>
      </c>
      <c r="I50" s="23">
        <v>-3</v>
      </c>
      <c r="J50" s="25">
        <v>508</v>
      </c>
      <c r="L50" t="s">
        <v>71</v>
      </c>
      <c r="P50" t="s">
        <v>24</v>
      </c>
      <c r="Q50" s="29">
        <v>45973.796665555557</v>
      </c>
    </row>
    <row r="51" spans="1:17" x14ac:dyDescent="0.25">
      <c r="A51" s="29">
        <v>45970.967263657411</v>
      </c>
      <c r="B51" t="s">
        <v>33</v>
      </c>
      <c r="E51" t="s">
        <v>21</v>
      </c>
      <c r="F51" t="s">
        <v>78</v>
      </c>
      <c r="H51" s="25">
        <v>0</v>
      </c>
      <c r="I51" s="23">
        <v>-101.83</v>
      </c>
      <c r="J51" s="25">
        <v>508</v>
      </c>
      <c r="L51" t="s">
        <v>71</v>
      </c>
      <c r="P51" t="s">
        <v>24</v>
      </c>
      <c r="Q51" s="29">
        <v>45973.796665555557</v>
      </c>
    </row>
    <row r="52" spans="1:17" x14ac:dyDescent="0.25">
      <c r="A52" s="29">
        <v>45970.967263657411</v>
      </c>
      <c r="B52" t="s">
        <v>62</v>
      </c>
      <c r="E52" t="s">
        <v>21</v>
      </c>
      <c r="F52" t="s">
        <v>76</v>
      </c>
      <c r="H52" s="25">
        <v>0</v>
      </c>
      <c r="I52" s="23">
        <v>-0.75</v>
      </c>
      <c r="J52" s="25">
        <v>508</v>
      </c>
      <c r="L52" t="s">
        <v>71</v>
      </c>
      <c r="P52" t="s">
        <v>24</v>
      </c>
      <c r="Q52" s="29">
        <v>45973.796665555557</v>
      </c>
    </row>
    <row r="53" spans="1:17" x14ac:dyDescent="0.25">
      <c r="A53" s="29">
        <v>45970.967263657411</v>
      </c>
      <c r="B53" t="s">
        <v>62</v>
      </c>
      <c r="E53" t="s">
        <v>21</v>
      </c>
      <c r="F53" t="s">
        <v>79</v>
      </c>
      <c r="H53" s="25">
        <v>0</v>
      </c>
      <c r="I53" s="23">
        <v>-800</v>
      </c>
      <c r="J53" s="25">
        <v>508</v>
      </c>
      <c r="L53" t="s">
        <v>71</v>
      </c>
      <c r="P53" t="s">
        <v>24</v>
      </c>
      <c r="Q53" s="29">
        <v>45973.796665555557</v>
      </c>
    </row>
    <row r="54" spans="1:17" x14ac:dyDescent="0.25">
      <c r="A54" s="29">
        <v>45970.967263657411</v>
      </c>
      <c r="B54" t="s">
        <v>73</v>
      </c>
      <c r="E54" t="s">
        <v>21</v>
      </c>
      <c r="F54" t="s">
        <v>80</v>
      </c>
      <c r="H54" s="25">
        <v>0</v>
      </c>
      <c r="I54" s="23">
        <v>1171.18</v>
      </c>
      <c r="J54" s="25">
        <v>508</v>
      </c>
      <c r="L54" t="s">
        <v>71</v>
      </c>
      <c r="P54" t="s">
        <v>24</v>
      </c>
      <c r="Q54" s="29">
        <v>45973.796665555557</v>
      </c>
    </row>
    <row r="55" spans="1:17" x14ac:dyDescent="0.25">
      <c r="A55" s="29">
        <v>45970.967263657411</v>
      </c>
      <c r="B55" t="s">
        <v>73</v>
      </c>
      <c r="E55" t="s">
        <v>21</v>
      </c>
      <c r="F55" t="s">
        <v>47</v>
      </c>
      <c r="H55" s="25">
        <v>0</v>
      </c>
      <c r="I55" s="23">
        <v>282.5</v>
      </c>
      <c r="J55" s="25">
        <v>508</v>
      </c>
      <c r="L55" t="s">
        <v>71</v>
      </c>
      <c r="P55" t="s">
        <v>24</v>
      </c>
      <c r="Q55" s="29">
        <v>45973.796665555557</v>
      </c>
    </row>
    <row r="56" spans="1:17" x14ac:dyDescent="0.25">
      <c r="A56" s="29">
        <v>45970.967263657411</v>
      </c>
      <c r="B56" t="s">
        <v>73</v>
      </c>
      <c r="E56" t="s">
        <v>21</v>
      </c>
      <c r="F56" t="s">
        <v>81</v>
      </c>
      <c r="H56" s="25">
        <v>0</v>
      </c>
      <c r="I56" s="23">
        <v>284.76</v>
      </c>
      <c r="J56" s="25">
        <v>508</v>
      </c>
      <c r="L56" t="s">
        <v>71</v>
      </c>
      <c r="P56" t="s">
        <v>24</v>
      </c>
      <c r="Q56" s="29">
        <v>45973.796665555557</v>
      </c>
    </row>
    <row r="57" spans="1:17" x14ac:dyDescent="0.25">
      <c r="A57" s="29">
        <v>45970.967263657411</v>
      </c>
      <c r="B57" t="s">
        <v>73</v>
      </c>
      <c r="E57" t="s">
        <v>21</v>
      </c>
      <c r="F57" t="s">
        <v>75</v>
      </c>
      <c r="H57" s="25">
        <v>0</v>
      </c>
      <c r="I57" s="23">
        <v>149.16</v>
      </c>
      <c r="J57" s="25">
        <v>508</v>
      </c>
      <c r="L57" t="s">
        <v>71</v>
      </c>
      <c r="P57" t="s">
        <v>24</v>
      </c>
      <c r="Q57" s="29">
        <v>45973.796665555557</v>
      </c>
    </row>
    <row r="58" spans="1:17" x14ac:dyDescent="0.25">
      <c r="A58" s="29">
        <v>45970.967263657411</v>
      </c>
      <c r="B58" t="s">
        <v>73</v>
      </c>
      <c r="E58" t="s">
        <v>21</v>
      </c>
      <c r="F58" t="s">
        <v>82</v>
      </c>
      <c r="H58" s="25">
        <v>0</v>
      </c>
      <c r="I58" s="23">
        <v>226</v>
      </c>
      <c r="J58" s="25">
        <v>508</v>
      </c>
      <c r="L58" t="s">
        <v>71</v>
      </c>
      <c r="P58" t="s">
        <v>24</v>
      </c>
      <c r="Q58" s="29">
        <v>45973.796665555557</v>
      </c>
    </row>
    <row r="59" spans="1:17" x14ac:dyDescent="0.25">
      <c r="A59" s="29">
        <v>45970.967263657411</v>
      </c>
      <c r="B59" t="s">
        <v>33</v>
      </c>
      <c r="E59" t="s">
        <v>21</v>
      </c>
      <c r="F59" t="s">
        <v>83</v>
      </c>
      <c r="H59" s="25">
        <v>0</v>
      </c>
      <c r="I59" s="23">
        <v>-226.83</v>
      </c>
      <c r="J59" s="25">
        <v>508</v>
      </c>
      <c r="L59" t="s">
        <v>71</v>
      </c>
      <c r="P59" t="s">
        <v>24</v>
      </c>
      <c r="Q59" s="29">
        <v>45973.796665555557</v>
      </c>
    </row>
    <row r="60" spans="1:17" x14ac:dyDescent="0.25">
      <c r="A60" s="29">
        <v>45970.967263657411</v>
      </c>
      <c r="B60" t="s">
        <v>33</v>
      </c>
      <c r="E60" t="s">
        <v>21</v>
      </c>
      <c r="F60" t="s">
        <v>84</v>
      </c>
      <c r="H60" s="25">
        <v>0</v>
      </c>
      <c r="I60" s="23">
        <v>-40.46</v>
      </c>
      <c r="J60" s="25">
        <v>508</v>
      </c>
      <c r="L60" t="s">
        <v>71</v>
      </c>
      <c r="P60" t="s">
        <v>24</v>
      </c>
      <c r="Q60" s="29">
        <v>45973.796665555557</v>
      </c>
    </row>
    <row r="61" spans="1:17" x14ac:dyDescent="0.25">
      <c r="A61" s="29">
        <v>45970.967263657411</v>
      </c>
      <c r="B61" t="s">
        <v>33</v>
      </c>
      <c r="E61" t="s">
        <v>21</v>
      </c>
      <c r="F61" t="s">
        <v>85</v>
      </c>
      <c r="H61" s="25">
        <v>0</v>
      </c>
      <c r="I61" s="23">
        <v>-63.03</v>
      </c>
      <c r="J61" s="25">
        <v>508</v>
      </c>
      <c r="L61" t="s">
        <v>71</v>
      </c>
      <c r="P61" t="s">
        <v>24</v>
      </c>
      <c r="Q61" s="29">
        <v>45973.796665555557</v>
      </c>
    </row>
    <row r="62" spans="1:17" x14ac:dyDescent="0.25">
      <c r="A62" s="29">
        <v>45970.967263657411</v>
      </c>
      <c r="B62" t="s">
        <v>33</v>
      </c>
      <c r="E62" t="s">
        <v>21</v>
      </c>
      <c r="F62" t="s">
        <v>86</v>
      </c>
      <c r="H62" s="25">
        <v>0</v>
      </c>
      <c r="I62" s="23">
        <v>-733.2</v>
      </c>
      <c r="J62" s="25">
        <v>508</v>
      </c>
      <c r="L62" t="s">
        <v>71</v>
      </c>
      <c r="P62" t="s">
        <v>24</v>
      </c>
      <c r="Q62" s="29">
        <v>45973.796665555557</v>
      </c>
    </row>
    <row r="63" spans="1:17" x14ac:dyDescent="0.25">
      <c r="A63" s="29">
        <v>45970.967263657411</v>
      </c>
      <c r="B63" t="s">
        <v>73</v>
      </c>
      <c r="E63" t="s">
        <v>21</v>
      </c>
      <c r="F63" t="s">
        <v>87</v>
      </c>
      <c r="H63" s="25">
        <v>0</v>
      </c>
      <c r="I63" s="23">
        <v>761.06</v>
      </c>
      <c r="J63" s="25">
        <v>508</v>
      </c>
      <c r="L63" t="s">
        <v>71</v>
      </c>
      <c r="P63" t="s">
        <v>24</v>
      </c>
      <c r="Q63" s="29">
        <v>45973.796665555557</v>
      </c>
    </row>
    <row r="64" spans="1:17" x14ac:dyDescent="0.25">
      <c r="A64" s="29">
        <v>45970.97982064815</v>
      </c>
      <c r="B64" t="s">
        <v>58</v>
      </c>
      <c r="E64" t="s">
        <v>59</v>
      </c>
      <c r="F64" t="s">
        <v>88</v>
      </c>
      <c r="H64" s="25">
        <v>0</v>
      </c>
      <c r="I64" s="23">
        <v>679.12</v>
      </c>
      <c r="J64" s="25">
        <v>508</v>
      </c>
      <c r="L64" t="s">
        <v>36</v>
      </c>
      <c r="P64" t="s">
        <v>24</v>
      </c>
      <c r="Q64" s="29">
        <v>45973.796665555557</v>
      </c>
    </row>
    <row r="65" spans="1:17" x14ac:dyDescent="0.25">
      <c r="A65" s="29">
        <v>45970.97982064815</v>
      </c>
      <c r="B65" t="s">
        <v>58</v>
      </c>
      <c r="E65" t="s">
        <v>59</v>
      </c>
      <c r="F65" t="s">
        <v>88</v>
      </c>
      <c r="H65" s="25">
        <v>0</v>
      </c>
      <c r="I65" s="23">
        <v>2317.09</v>
      </c>
      <c r="J65" s="25">
        <v>508</v>
      </c>
      <c r="L65" t="s">
        <v>36</v>
      </c>
      <c r="P65" t="s">
        <v>24</v>
      </c>
      <c r="Q65" s="29">
        <v>45973.796665555557</v>
      </c>
    </row>
    <row r="66" spans="1:17" x14ac:dyDescent="0.25">
      <c r="A66" s="29">
        <v>45970.97982064815</v>
      </c>
      <c r="B66" t="s">
        <v>58</v>
      </c>
      <c r="E66" t="s">
        <v>59</v>
      </c>
      <c r="F66" t="s">
        <v>89</v>
      </c>
      <c r="H66" s="25">
        <v>0</v>
      </c>
      <c r="I66" s="23">
        <v>54</v>
      </c>
      <c r="J66" s="25">
        <v>508</v>
      </c>
      <c r="L66" t="s">
        <v>36</v>
      </c>
      <c r="P66" t="s">
        <v>24</v>
      </c>
      <c r="Q66" s="29">
        <v>45973.796665555557</v>
      </c>
    </row>
    <row r="67" spans="1:17" x14ac:dyDescent="0.25">
      <c r="A67" s="29">
        <v>45970.97982064815</v>
      </c>
      <c r="B67" t="s">
        <v>58</v>
      </c>
      <c r="E67" t="s">
        <v>59</v>
      </c>
      <c r="F67" t="s">
        <v>90</v>
      </c>
      <c r="H67" s="25">
        <v>0</v>
      </c>
      <c r="I67" s="23">
        <v>194</v>
      </c>
      <c r="J67" s="25">
        <v>508</v>
      </c>
      <c r="L67" t="s">
        <v>36</v>
      </c>
      <c r="P67" t="s">
        <v>24</v>
      </c>
      <c r="Q67" s="29">
        <v>45973.796665555557</v>
      </c>
    </row>
    <row r="68" spans="1:17" x14ac:dyDescent="0.25">
      <c r="A68" s="29">
        <v>45970.97982064815</v>
      </c>
      <c r="B68" t="s">
        <v>62</v>
      </c>
      <c r="E68" t="s">
        <v>91</v>
      </c>
      <c r="F68" t="s">
        <v>92</v>
      </c>
      <c r="H68" s="25">
        <v>0</v>
      </c>
      <c r="I68" s="23">
        <v>1040</v>
      </c>
      <c r="J68" s="25">
        <v>508</v>
      </c>
      <c r="L68" t="s">
        <v>36</v>
      </c>
      <c r="P68" t="s">
        <v>24</v>
      </c>
      <c r="Q68" s="29">
        <v>45973.796665555557</v>
      </c>
    </row>
    <row r="69" spans="1:17" x14ac:dyDescent="0.25">
      <c r="A69" s="29">
        <v>45970.97982064815</v>
      </c>
      <c r="B69" t="s">
        <v>62</v>
      </c>
      <c r="E69" t="s">
        <v>91</v>
      </c>
      <c r="F69" t="s">
        <v>93</v>
      </c>
      <c r="H69" s="25">
        <v>0</v>
      </c>
      <c r="I69" s="23">
        <v>5318</v>
      </c>
      <c r="J69" s="25">
        <v>508</v>
      </c>
      <c r="L69" t="s">
        <v>36</v>
      </c>
      <c r="P69" t="s">
        <v>24</v>
      </c>
      <c r="Q69" s="29">
        <v>45973.796665555557</v>
      </c>
    </row>
    <row r="70" spans="1:17" x14ac:dyDescent="0.25">
      <c r="A70" s="29">
        <v>45970.97982064815</v>
      </c>
      <c r="B70" t="s">
        <v>62</v>
      </c>
      <c r="E70" t="s">
        <v>91</v>
      </c>
      <c r="F70" t="s">
        <v>94</v>
      </c>
      <c r="H70" s="25">
        <v>0</v>
      </c>
      <c r="I70" s="23">
        <v>525</v>
      </c>
      <c r="J70" s="25">
        <v>508</v>
      </c>
      <c r="L70" t="s">
        <v>36</v>
      </c>
      <c r="P70" t="s">
        <v>24</v>
      </c>
      <c r="Q70" s="29">
        <v>45973.796665555557</v>
      </c>
    </row>
    <row r="71" spans="1:17" x14ac:dyDescent="0.25">
      <c r="A71" s="29">
        <v>45970.97982064815</v>
      </c>
      <c r="B71" t="s">
        <v>62</v>
      </c>
      <c r="E71" t="s">
        <v>91</v>
      </c>
      <c r="F71" t="s">
        <v>95</v>
      </c>
      <c r="H71" s="25">
        <v>0</v>
      </c>
      <c r="I71" s="23">
        <v>5088</v>
      </c>
      <c r="J71" s="25">
        <v>508</v>
      </c>
      <c r="L71" t="s">
        <v>36</v>
      </c>
      <c r="P71" t="s">
        <v>24</v>
      </c>
      <c r="Q71" s="29">
        <v>45973.796665555557</v>
      </c>
    </row>
    <row r="72" spans="1:17" x14ac:dyDescent="0.25">
      <c r="A72" s="29">
        <v>45970.97982064815</v>
      </c>
      <c r="B72" t="s">
        <v>62</v>
      </c>
      <c r="E72" t="s">
        <v>91</v>
      </c>
      <c r="F72" t="s">
        <v>96</v>
      </c>
      <c r="H72" s="25">
        <v>0</v>
      </c>
      <c r="I72" s="23">
        <v>2687</v>
      </c>
      <c r="J72" s="25">
        <v>508</v>
      </c>
      <c r="L72" t="s">
        <v>36</v>
      </c>
      <c r="P72" t="s">
        <v>24</v>
      </c>
      <c r="Q72" s="29">
        <v>45973.796665555557</v>
      </c>
    </row>
    <row r="73" spans="1:17" x14ac:dyDescent="0.25">
      <c r="A73" s="29">
        <v>45970.97982064815</v>
      </c>
      <c r="B73" t="s">
        <v>62</v>
      </c>
      <c r="E73" t="s">
        <v>91</v>
      </c>
      <c r="F73" t="s">
        <v>97</v>
      </c>
      <c r="H73" s="25">
        <v>0</v>
      </c>
      <c r="I73" s="23">
        <v>20142</v>
      </c>
      <c r="J73" s="25">
        <v>508</v>
      </c>
      <c r="L73" t="s">
        <v>36</v>
      </c>
      <c r="P73" t="s">
        <v>24</v>
      </c>
      <c r="Q73" s="29">
        <v>45973.796665555557</v>
      </c>
    </row>
    <row r="74" spans="1:17" x14ac:dyDescent="0.25">
      <c r="A74" s="29">
        <v>45970.97982064815</v>
      </c>
      <c r="B74" t="s">
        <v>33</v>
      </c>
      <c r="E74" t="s">
        <v>91</v>
      </c>
      <c r="F74" t="s">
        <v>98</v>
      </c>
      <c r="H74" s="25">
        <v>0</v>
      </c>
      <c r="I74" s="23">
        <v>706.12</v>
      </c>
      <c r="J74" s="25">
        <v>508</v>
      </c>
      <c r="L74" t="s">
        <v>36</v>
      </c>
      <c r="P74" t="s">
        <v>24</v>
      </c>
      <c r="Q74" s="29">
        <v>45973.796665555557</v>
      </c>
    </row>
    <row r="75" spans="1:17" x14ac:dyDescent="0.25">
      <c r="A75" s="29">
        <v>45970.97982064815</v>
      </c>
      <c r="B75" t="s">
        <v>33</v>
      </c>
      <c r="E75" t="s">
        <v>91</v>
      </c>
      <c r="F75" t="s">
        <v>99</v>
      </c>
      <c r="H75" s="25">
        <v>0</v>
      </c>
      <c r="I75" s="23">
        <v>9804</v>
      </c>
      <c r="J75" s="25">
        <v>508</v>
      </c>
      <c r="L75" t="s">
        <v>36</v>
      </c>
      <c r="P75" t="s">
        <v>24</v>
      </c>
      <c r="Q75" s="29">
        <v>45973.796665555557</v>
      </c>
    </row>
    <row r="76" spans="1:17" x14ac:dyDescent="0.25">
      <c r="A76" s="29">
        <v>45970.979820659719</v>
      </c>
      <c r="B76" t="s">
        <v>73</v>
      </c>
      <c r="E76" t="s">
        <v>34</v>
      </c>
      <c r="F76" t="s">
        <v>49</v>
      </c>
      <c r="H76" s="25">
        <v>0</v>
      </c>
      <c r="I76" s="23">
        <v>209.06</v>
      </c>
      <c r="J76" s="25">
        <v>508</v>
      </c>
      <c r="L76" t="s">
        <v>36</v>
      </c>
      <c r="P76" t="s">
        <v>24</v>
      </c>
      <c r="Q76" s="29">
        <v>45973.796665555557</v>
      </c>
    </row>
    <row r="77" spans="1:17" x14ac:dyDescent="0.25">
      <c r="A77" s="29">
        <v>45970.979820659719</v>
      </c>
      <c r="B77" t="s">
        <v>73</v>
      </c>
      <c r="E77" t="s">
        <v>34</v>
      </c>
      <c r="F77" t="s">
        <v>55</v>
      </c>
      <c r="H77" s="25">
        <v>0</v>
      </c>
      <c r="I77" s="23">
        <v>56.5</v>
      </c>
      <c r="J77" s="25">
        <v>508</v>
      </c>
      <c r="L77" t="s">
        <v>36</v>
      </c>
      <c r="P77" t="s">
        <v>24</v>
      </c>
      <c r="Q77" s="29">
        <v>45973.796665555557</v>
      </c>
    </row>
    <row r="78" spans="1:17" x14ac:dyDescent="0.25">
      <c r="A78" s="29">
        <v>45970.979820659719</v>
      </c>
      <c r="B78" t="s">
        <v>73</v>
      </c>
      <c r="E78" t="s">
        <v>34</v>
      </c>
      <c r="F78" t="s">
        <v>56</v>
      </c>
      <c r="H78" s="25">
        <v>0</v>
      </c>
      <c r="I78" s="23">
        <v>56.5</v>
      </c>
      <c r="J78" s="25">
        <v>508</v>
      </c>
      <c r="L78" t="s">
        <v>36</v>
      </c>
      <c r="P78" t="s">
        <v>24</v>
      </c>
      <c r="Q78" s="29">
        <v>45973.796665555557</v>
      </c>
    </row>
    <row r="79" spans="1:17" x14ac:dyDescent="0.25">
      <c r="A79" s="29">
        <v>45970.979820659719</v>
      </c>
      <c r="B79" t="s">
        <v>73</v>
      </c>
      <c r="E79" t="s">
        <v>34</v>
      </c>
      <c r="F79" t="s">
        <v>45</v>
      </c>
      <c r="H79" s="25">
        <v>0</v>
      </c>
      <c r="I79" s="23">
        <v>333.92</v>
      </c>
      <c r="J79" s="25">
        <v>508</v>
      </c>
      <c r="L79" t="s">
        <v>36</v>
      </c>
      <c r="P79" t="s">
        <v>24</v>
      </c>
      <c r="Q79" s="29">
        <v>45973.796665555557</v>
      </c>
    </row>
    <row r="80" spans="1:17" x14ac:dyDescent="0.25">
      <c r="A80" s="29">
        <v>45970.979820659719</v>
      </c>
      <c r="B80" t="s">
        <v>73</v>
      </c>
      <c r="E80" t="s">
        <v>34</v>
      </c>
      <c r="F80" t="s">
        <v>37</v>
      </c>
      <c r="H80" s="25">
        <v>0</v>
      </c>
      <c r="I80" s="23">
        <v>1689.04</v>
      </c>
      <c r="J80" s="25">
        <v>508</v>
      </c>
      <c r="L80" t="s">
        <v>36</v>
      </c>
      <c r="P80" t="s">
        <v>24</v>
      </c>
      <c r="Q80" s="29">
        <v>45973.796665555557</v>
      </c>
    </row>
    <row r="81" spans="1:17" x14ac:dyDescent="0.25">
      <c r="A81" s="29">
        <v>45970.979820659719</v>
      </c>
      <c r="B81" t="s">
        <v>73</v>
      </c>
      <c r="E81" t="s">
        <v>34</v>
      </c>
      <c r="F81" t="s">
        <v>100</v>
      </c>
      <c r="H81" s="25">
        <v>0</v>
      </c>
      <c r="I81" s="23">
        <v>2800</v>
      </c>
      <c r="J81" s="25">
        <v>508</v>
      </c>
      <c r="L81" t="s">
        <v>36</v>
      </c>
      <c r="P81" t="s">
        <v>24</v>
      </c>
      <c r="Q81" s="29">
        <v>45973.796665555557</v>
      </c>
    </row>
    <row r="82" spans="1:17" x14ac:dyDescent="0.25">
      <c r="A82" s="29">
        <v>45970.979820659719</v>
      </c>
      <c r="B82" t="s">
        <v>73</v>
      </c>
      <c r="E82" t="s">
        <v>34</v>
      </c>
      <c r="F82" t="s">
        <v>42</v>
      </c>
      <c r="H82" s="25">
        <v>0</v>
      </c>
      <c r="I82" s="23">
        <v>494.5</v>
      </c>
      <c r="J82" s="25">
        <v>508</v>
      </c>
      <c r="L82" t="s">
        <v>36</v>
      </c>
      <c r="P82" t="s">
        <v>24</v>
      </c>
      <c r="Q82" s="29">
        <v>45973.796665567133</v>
      </c>
    </row>
    <row r="83" spans="1:17" x14ac:dyDescent="0.25">
      <c r="A83" s="29">
        <v>45970.979820659719</v>
      </c>
      <c r="B83" t="s">
        <v>73</v>
      </c>
      <c r="E83" t="s">
        <v>34</v>
      </c>
      <c r="F83" t="s">
        <v>101</v>
      </c>
      <c r="H83" s="25">
        <v>0</v>
      </c>
      <c r="I83" s="23">
        <v>378.35</v>
      </c>
      <c r="J83" s="25">
        <v>508</v>
      </c>
      <c r="L83" t="s">
        <v>36</v>
      </c>
      <c r="P83" t="s">
        <v>24</v>
      </c>
      <c r="Q83" s="29">
        <v>45973.796665567133</v>
      </c>
    </row>
    <row r="84" spans="1:17" x14ac:dyDescent="0.25">
      <c r="A84" s="29">
        <v>45970.979820659719</v>
      </c>
      <c r="B84" t="s">
        <v>73</v>
      </c>
      <c r="E84" t="s">
        <v>34</v>
      </c>
      <c r="F84" t="s">
        <v>48</v>
      </c>
      <c r="H84" s="25">
        <v>0</v>
      </c>
      <c r="I84" s="23">
        <v>276.85000000000002</v>
      </c>
      <c r="J84" s="25">
        <v>508</v>
      </c>
      <c r="L84" t="s">
        <v>36</v>
      </c>
      <c r="P84" t="s">
        <v>24</v>
      </c>
      <c r="Q84" s="29">
        <v>45973.796665567133</v>
      </c>
    </row>
    <row r="85" spans="1:17" x14ac:dyDescent="0.25">
      <c r="A85" s="29">
        <v>45970.979820659719</v>
      </c>
      <c r="B85" t="s">
        <v>73</v>
      </c>
      <c r="E85" t="s">
        <v>34</v>
      </c>
      <c r="F85" t="s">
        <v>40</v>
      </c>
      <c r="H85" s="25">
        <v>0</v>
      </c>
      <c r="I85" s="23">
        <v>687.27</v>
      </c>
      <c r="J85" s="25">
        <v>508</v>
      </c>
      <c r="L85" t="s">
        <v>36</v>
      </c>
      <c r="P85" t="s">
        <v>24</v>
      </c>
      <c r="Q85" s="29">
        <v>45973.796665567133</v>
      </c>
    </row>
    <row r="86" spans="1:17" x14ac:dyDescent="0.25">
      <c r="A86" s="29">
        <v>45970.979820659719</v>
      </c>
      <c r="B86" t="s">
        <v>73</v>
      </c>
      <c r="E86" t="s">
        <v>34</v>
      </c>
      <c r="F86" t="s">
        <v>50</v>
      </c>
      <c r="H86" s="25">
        <v>0</v>
      </c>
      <c r="I86" s="23">
        <v>183.63</v>
      </c>
      <c r="J86" s="25">
        <v>508</v>
      </c>
      <c r="L86" t="s">
        <v>36</v>
      </c>
      <c r="P86" t="s">
        <v>24</v>
      </c>
      <c r="Q86" s="29">
        <v>45973.796665567133</v>
      </c>
    </row>
    <row r="87" spans="1:17" x14ac:dyDescent="0.25">
      <c r="A87" s="29">
        <v>45970.979820659719</v>
      </c>
      <c r="B87" t="s">
        <v>73</v>
      </c>
      <c r="E87" t="s">
        <v>34</v>
      </c>
      <c r="F87" t="s">
        <v>41</v>
      </c>
      <c r="H87" s="25">
        <v>0</v>
      </c>
      <c r="I87" s="23">
        <v>687.05</v>
      </c>
      <c r="J87" s="25">
        <v>508</v>
      </c>
      <c r="L87" t="s">
        <v>36</v>
      </c>
      <c r="P87" t="s">
        <v>24</v>
      </c>
      <c r="Q87" s="29">
        <v>45973.796665567133</v>
      </c>
    </row>
    <row r="88" spans="1:17" x14ac:dyDescent="0.25">
      <c r="A88" s="29">
        <v>45970.979820659719</v>
      </c>
      <c r="B88" t="s">
        <v>73</v>
      </c>
      <c r="E88" t="s">
        <v>34</v>
      </c>
      <c r="F88" t="s">
        <v>38</v>
      </c>
      <c r="H88" s="25">
        <v>0</v>
      </c>
      <c r="I88" s="23">
        <v>761.05</v>
      </c>
      <c r="J88" s="25">
        <v>508</v>
      </c>
      <c r="L88" t="s">
        <v>36</v>
      </c>
      <c r="P88" t="s">
        <v>24</v>
      </c>
      <c r="Q88" s="29">
        <v>45973.796665567133</v>
      </c>
    </row>
    <row r="89" spans="1:17" x14ac:dyDescent="0.25">
      <c r="A89" s="29">
        <v>45970.979820659719</v>
      </c>
      <c r="B89" t="s">
        <v>73</v>
      </c>
      <c r="E89" t="s">
        <v>34</v>
      </c>
      <c r="F89" t="s">
        <v>51</v>
      </c>
      <c r="H89" s="25">
        <v>0</v>
      </c>
      <c r="I89" s="23">
        <v>169.5</v>
      </c>
      <c r="J89" s="25">
        <v>508</v>
      </c>
      <c r="L89" t="s">
        <v>36</v>
      </c>
      <c r="P89" t="s">
        <v>24</v>
      </c>
      <c r="Q89" s="29">
        <v>45973.796665567133</v>
      </c>
    </row>
    <row r="90" spans="1:17" x14ac:dyDescent="0.25">
      <c r="A90" s="29">
        <v>45970.979820659719</v>
      </c>
      <c r="B90" t="s">
        <v>73</v>
      </c>
      <c r="E90" t="s">
        <v>34</v>
      </c>
      <c r="F90" t="s">
        <v>57</v>
      </c>
      <c r="H90" s="25">
        <v>0</v>
      </c>
      <c r="I90" s="23">
        <v>42.38</v>
      </c>
      <c r="J90" s="25">
        <v>508</v>
      </c>
      <c r="L90" t="s">
        <v>36</v>
      </c>
      <c r="P90" t="s">
        <v>24</v>
      </c>
      <c r="Q90" s="29">
        <v>45973.796665567133</v>
      </c>
    </row>
    <row r="91" spans="1:17" x14ac:dyDescent="0.25">
      <c r="A91" s="29">
        <v>45970.979820671288</v>
      </c>
      <c r="B91" t="s">
        <v>73</v>
      </c>
      <c r="E91" t="s">
        <v>34</v>
      </c>
      <c r="F91" t="s">
        <v>54</v>
      </c>
      <c r="H91" s="25">
        <v>0</v>
      </c>
      <c r="I91" s="23">
        <v>67.8</v>
      </c>
      <c r="J91" s="25">
        <v>508</v>
      </c>
      <c r="L91" t="s">
        <v>36</v>
      </c>
      <c r="P91" t="s">
        <v>24</v>
      </c>
      <c r="Q91" s="29">
        <v>45973.796665567133</v>
      </c>
    </row>
    <row r="92" spans="1:17" x14ac:dyDescent="0.25">
      <c r="A92" s="29">
        <v>45970.979820671288</v>
      </c>
      <c r="B92" t="s">
        <v>73</v>
      </c>
      <c r="E92" t="s">
        <v>34</v>
      </c>
      <c r="F92" t="s">
        <v>52</v>
      </c>
      <c r="H92" s="25">
        <v>0</v>
      </c>
      <c r="I92" s="23">
        <v>113</v>
      </c>
      <c r="J92" s="25">
        <v>508</v>
      </c>
      <c r="L92" t="s">
        <v>36</v>
      </c>
      <c r="P92" t="s">
        <v>24</v>
      </c>
      <c r="Q92" s="29">
        <v>45973.796665567133</v>
      </c>
    </row>
    <row r="93" spans="1:17" x14ac:dyDescent="0.25">
      <c r="A93" s="29">
        <v>45970.979820671288</v>
      </c>
      <c r="B93" t="s">
        <v>73</v>
      </c>
      <c r="E93" t="s">
        <v>34</v>
      </c>
      <c r="F93" t="s">
        <v>43</v>
      </c>
      <c r="H93" s="25">
        <v>0</v>
      </c>
      <c r="I93" s="23">
        <v>439.61</v>
      </c>
      <c r="J93" s="25">
        <v>508</v>
      </c>
      <c r="L93" t="s">
        <v>36</v>
      </c>
      <c r="P93" t="s">
        <v>24</v>
      </c>
      <c r="Q93" s="29">
        <v>45973.796665567133</v>
      </c>
    </row>
    <row r="94" spans="1:17" x14ac:dyDescent="0.25">
      <c r="A94" s="29">
        <v>45970.979820671288</v>
      </c>
      <c r="B94" t="s">
        <v>73</v>
      </c>
      <c r="E94" t="s">
        <v>34</v>
      </c>
      <c r="F94" t="s">
        <v>47</v>
      </c>
      <c r="H94" s="25">
        <v>0</v>
      </c>
      <c r="I94" s="23">
        <v>282.5</v>
      </c>
      <c r="J94" s="25">
        <v>508</v>
      </c>
      <c r="L94" t="s">
        <v>36</v>
      </c>
      <c r="P94" t="s">
        <v>24</v>
      </c>
      <c r="Q94" s="29">
        <v>45973.796665567133</v>
      </c>
    </row>
    <row r="95" spans="1:17" x14ac:dyDescent="0.25">
      <c r="A95" s="29">
        <v>45970.979820671288</v>
      </c>
      <c r="B95" t="s">
        <v>73</v>
      </c>
      <c r="E95" t="s">
        <v>34</v>
      </c>
      <c r="F95" t="s">
        <v>39</v>
      </c>
      <c r="H95" s="25">
        <v>0</v>
      </c>
      <c r="I95" s="23">
        <v>691.56</v>
      </c>
      <c r="J95" s="25">
        <v>508</v>
      </c>
      <c r="L95" t="s">
        <v>36</v>
      </c>
      <c r="P95" t="s">
        <v>24</v>
      </c>
      <c r="Q95" s="29">
        <v>45973.796665567133</v>
      </c>
    </row>
    <row r="96" spans="1:17" x14ac:dyDescent="0.25">
      <c r="A96" s="29">
        <v>45970.979820671288</v>
      </c>
      <c r="B96" t="s">
        <v>73</v>
      </c>
      <c r="E96" t="s">
        <v>34</v>
      </c>
      <c r="F96" t="s">
        <v>46</v>
      </c>
      <c r="H96" s="25">
        <v>0</v>
      </c>
      <c r="I96" s="23">
        <v>333.35</v>
      </c>
      <c r="J96" s="25">
        <v>508</v>
      </c>
      <c r="L96" t="s">
        <v>36</v>
      </c>
      <c r="P96" t="s">
        <v>24</v>
      </c>
      <c r="Q96" s="29">
        <v>45973.796665567133</v>
      </c>
    </row>
    <row r="97" spans="1:17" x14ac:dyDescent="0.25">
      <c r="A97" s="29">
        <v>45970.979820671288</v>
      </c>
      <c r="B97" t="s">
        <v>73</v>
      </c>
      <c r="E97" t="s">
        <v>34</v>
      </c>
      <c r="F97" t="s">
        <v>53</v>
      </c>
      <c r="H97" s="25">
        <v>0</v>
      </c>
      <c r="I97" s="23">
        <v>113</v>
      </c>
      <c r="J97" s="25">
        <v>508</v>
      </c>
      <c r="L97" t="s">
        <v>36</v>
      </c>
      <c r="P97" t="s">
        <v>24</v>
      </c>
      <c r="Q97" s="29">
        <v>45973.796665567133</v>
      </c>
    </row>
    <row r="98" spans="1:17" x14ac:dyDescent="0.25">
      <c r="A98" s="29">
        <v>45971.307954722222</v>
      </c>
      <c r="B98" t="s">
        <v>58</v>
      </c>
      <c r="E98" t="s">
        <v>59</v>
      </c>
      <c r="F98" t="s">
        <v>102</v>
      </c>
      <c r="H98" s="25">
        <v>0</v>
      </c>
      <c r="I98" s="23">
        <v>3137.26</v>
      </c>
      <c r="J98" s="25">
        <v>508</v>
      </c>
      <c r="L98" t="s">
        <v>103</v>
      </c>
      <c r="P98" t="s">
        <v>24</v>
      </c>
      <c r="Q98" s="29">
        <v>45973.796665567133</v>
      </c>
    </row>
    <row r="99" spans="1:17" x14ac:dyDescent="0.25">
      <c r="A99" s="29">
        <v>45971.307954722222</v>
      </c>
      <c r="B99" t="s">
        <v>58</v>
      </c>
      <c r="E99" t="s">
        <v>59</v>
      </c>
      <c r="F99" t="s">
        <v>104</v>
      </c>
      <c r="H99" s="25">
        <v>0</v>
      </c>
      <c r="I99" s="23">
        <v>2007.68</v>
      </c>
      <c r="J99" s="25">
        <v>508</v>
      </c>
      <c r="L99" t="s">
        <v>36</v>
      </c>
      <c r="P99" t="s">
        <v>24</v>
      </c>
      <c r="Q99" s="29">
        <v>45973.796665567133</v>
      </c>
    </row>
    <row r="100" spans="1:17" x14ac:dyDescent="0.25">
      <c r="A100" s="29">
        <v>45971.307954722222</v>
      </c>
      <c r="B100" t="s">
        <v>58</v>
      </c>
      <c r="E100" t="s">
        <v>59</v>
      </c>
      <c r="F100" t="s">
        <v>104</v>
      </c>
      <c r="H100" s="25">
        <v>0</v>
      </c>
      <c r="I100" s="23">
        <v>16.920000000000002</v>
      </c>
      <c r="J100" s="25">
        <v>508</v>
      </c>
      <c r="L100" t="s">
        <v>36</v>
      </c>
      <c r="P100" t="s">
        <v>24</v>
      </c>
      <c r="Q100" s="29">
        <v>45973.796665567133</v>
      </c>
    </row>
    <row r="101" spans="1:17" x14ac:dyDescent="0.25">
      <c r="A101" s="29">
        <v>45971</v>
      </c>
      <c r="B101" t="s">
        <v>33</v>
      </c>
      <c r="E101" t="s">
        <v>105</v>
      </c>
      <c r="F101" t="s">
        <v>106</v>
      </c>
      <c r="H101" s="25">
        <v>0</v>
      </c>
      <c r="I101" s="23">
        <v>2.21</v>
      </c>
      <c r="J101" s="25">
        <v>508</v>
      </c>
      <c r="L101" t="s">
        <v>71</v>
      </c>
      <c r="P101" t="s">
        <v>24</v>
      </c>
      <c r="Q101" s="29">
        <v>45973.796665567133</v>
      </c>
    </row>
    <row r="102" spans="1:17" x14ac:dyDescent="0.25">
      <c r="A102" s="29">
        <v>45971</v>
      </c>
      <c r="B102" t="s">
        <v>58</v>
      </c>
      <c r="E102" t="s">
        <v>21</v>
      </c>
      <c r="F102" t="s">
        <v>102</v>
      </c>
      <c r="H102" s="25">
        <v>0</v>
      </c>
      <c r="I102" s="23">
        <v>-3137.26</v>
      </c>
      <c r="J102" s="25">
        <v>508</v>
      </c>
      <c r="L102" t="s">
        <v>71</v>
      </c>
      <c r="P102" t="s">
        <v>24</v>
      </c>
      <c r="Q102" s="29">
        <v>45973.796665567133</v>
      </c>
    </row>
    <row r="103" spans="1:17" x14ac:dyDescent="0.25">
      <c r="A103" s="29">
        <v>45971</v>
      </c>
      <c r="B103" t="s">
        <v>62</v>
      </c>
      <c r="E103" t="s">
        <v>21</v>
      </c>
      <c r="F103" t="s">
        <v>76</v>
      </c>
      <c r="H103" s="25">
        <v>0</v>
      </c>
      <c r="I103" s="23">
        <v>-0.75</v>
      </c>
      <c r="J103" s="25">
        <v>508</v>
      </c>
      <c r="L103" t="s">
        <v>71</v>
      </c>
      <c r="P103" t="s">
        <v>24</v>
      </c>
      <c r="Q103" s="29">
        <v>45973.796665567133</v>
      </c>
    </row>
    <row r="104" spans="1:17" x14ac:dyDescent="0.25">
      <c r="A104" s="29">
        <v>45971</v>
      </c>
      <c r="B104" t="s">
        <v>33</v>
      </c>
      <c r="E104" t="s">
        <v>105</v>
      </c>
      <c r="F104" t="s">
        <v>106</v>
      </c>
      <c r="H104" s="25">
        <v>0</v>
      </c>
      <c r="I104" s="23">
        <v>2.76</v>
      </c>
      <c r="J104" s="25">
        <v>508</v>
      </c>
      <c r="L104" t="s">
        <v>71</v>
      </c>
      <c r="P104" t="s">
        <v>24</v>
      </c>
      <c r="Q104" s="29">
        <v>45973.796665567133</v>
      </c>
    </row>
    <row r="105" spans="1:17" x14ac:dyDescent="0.25">
      <c r="A105" s="29">
        <v>45971</v>
      </c>
      <c r="B105" t="s">
        <v>33</v>
      </c>
      <c r="E105" t="s">
        <v>105</v>
      </c>
      <c r="F105" t="s">
        <v>107</v>
      </c>
      <c r="H105" s="25">
        <v>6000</v>
      </c>
      <c r="I105" s="23">
        <v>10.47120418848167</v>
      </c>
      <c r="J105" s="25">
        <v>508</v>
      </c>
      <c r="L105" t="s">
        <v>71</v>
      </c>
      <c r="P105" t="s">
        <v>24</v>
      </c>
      <c r="Q105" s="29">
        <v>45973.796665567133</v>
      </c>
    </row>
    <row r="106" spans="1:17" x14ac:dyDescent="0.25">
      <c r="A106" s="29">
        <v>45971</v>
      </c>
      <c r="B106" t="s">
        <v>33</v>
      </c>
      <c r="E106" t="s">
        <v>105</v>
      </c>
      <c r="F106" t="s">
        <v>108</v>
      </c>
      <c r="H106" s="25">
        <v>5510</v>
      </c>
      <c r="I106" s="23">
        <v>9.6160558464223378</v>
      </c>
      <c r="J106" s="25">
        <v>508</v>
      </c>
      <c r="L106" t="s">
        <v>71</v>
      </c>
      <c r="P106" t="s">
        <v>24</v>
      </c>
      <c r="Q106" s="29">
        <v>45973.796665567133</v>
      </c>
    </row>
    <row r="107" spans="1:17" x14ac:dyDescent="0.25">
      <c r="A107" s="29">
        <v>45971</v>
      </c>
      <c r="B107" t="s">
        <v>58</v>
      </c>
      <c r="E107" t="s">
        <v>109</v>
      </c>
      <c r="F107" t="s">
        <v>110</v>
      </c>
      <c r="H107" s="25">
        <v>0</v>
      </c>
      <c r="I107" s="23">
        <v>16.95</v>
      </c>
      <c r="J107" s="25">
        <v>508</v>
      </c>
      <c r="L107" t="s">
        <v>71</v>
      </c>
      <c r="P107" t="s">
        <v>24</v>
      </c>
      <c r="Q107" s="29">
        <v>45973.796665567133</v>
      </c>
    </row>
    <row r="108" spans="1:17" x14ac:dyDescent="0.25">
      <c r="A108" s="29">
        <v>45971</v>
      </c>
      <c r="B108" t="s">
        <v>33</v>
      </c>
      <c r="E108" t="s">
        <v>111</v>
      </c>
      <c r="F108" t="s">
        <v>112</v>
      </c>
      <c r="H108" s="25">
        <v>3195</v>
      </c>
      <c r="I108" s="23">
        <v>5.5759162303664924</v>
      </c>
      <c r="J108" s="25">
        <v>508</v>
      </c>
      <c r="L108" t="s">
        <v>71</v>
      </c>
      <c r="P108" t="s">
        <v>24</v>
      </c>
      <c r="Q108" s="29">
        <v>45973.796665567133</v>
      </c>
    </row>
    <row r="109" spans="1:17" x14ac:dyDescent="0.25">
      <c r="A109" s="29">
        <v>45971</v>
      </c>
      <c r="B109" t="s">
        <v>33</v>
      </c>
      <c r="E109" t="s">
        <v>111</v>
      </c>
      <c r="F109" t="s">
        <v>112</v>
      </c>
      <c r="H109" s="25">
        <v>53785</v>
      </c>
      <c r="I109" s="23">
        <v>93.865619546247814</v>
      </c>
      <c r="J109" s="25">
        <v>508</v>
      </c>
      <c r="L109" t="s">
        <v>71</v>
      </c>
      <c r="P109" t="s">
        <v>24</v>
      </c>
      <c r="Q109" s="29">
        <v>45973.796665567133</v>
      </c>
    </row>
    <row r="110" spans="1:17" x14ac:dyDescent="0.25">
      <c r="A110" s="29">
        <v>45971</v>
      </c>
      <c r="B110" t="s">
        <v>62</v>
      </c>
      <c r="E110" t="s">
        <v>113</v>
      </c>
      <c r="F110" t="s">
        <v>114</v>
      </c>
      <c r="H110" s="25">
        <v>337981.89</v>
      </c>
      <c r="I110" s="23">
        <v>589.84623036649214</v>
      </c>
      <c r="J110" s="25">
        <v>508</v>
      </c>
      <c r="L110" t="s">
        <v>71</v>
      </c>
      <c r="P110" t="s">
        <v>24</v>
      </c>
      <c r="Q110" s="29">
        <v>45973.796665567133</v>
      </c>
    </row>
    <row r="111" spans="1:17" x14ac:dyDescent="0.25">
      <c r="A111" s="29">
        <v>45971</v>
      </c>
      <c r="B111" t="s">
        <v>33</v>
      </c>
      <c r="E111" t="s">
        <v>105</v>
      </c>
      <c r="F111" t="s">
        <v>115</v>
      </c>
      <c r="H111" s="25">
        <v>0</v>
      </c>
      <c r="I111" s="23">
        <v>18.73</v>
      </c>
      <c r="J111" s="25">
        <v>508</v>
      </c>
      <c r="L111" t="s">
        <v>71</v>
      </c>
      <c r="P111" t="s">
        <v>24</v>
      </c>
      <c r="Q111" s="29">
        <v>45973.796665567133</v>
      </c>
    </row>
    <row r="112" spans="1:17" x14ac:dyDescent="0.25">
      <c r="A112" s="29">
        <v>45971.48507260417</v>
      </c>
      <c r="B112" t="s">
        <v>25</v>
      </c>
      <c r="E112" t="s">
        <v>116</v>
      </c>
      <c r="F112" t="s">
        <v>117</v>
      </c>
      <c r="H112" s="25">
        <v>0</v>
      </c>
      <c r="I112" s="23">
        <v>75</v>
      </c>
      <c r="J112" s="25">
        <v>508</v>
      </c>
      <c r="L112" t="s">
        <v>71</v>
      </c>
      <c r="P112" t="s">
        <v>24</v>
      </c>
      <c r="Q112" s="29">
        <v>45973.796665567133</v>
      </c>
    </row>
    <row r="113" spans="1:17" x14ac:dyDescent="0.25">
      <c r="A113" s="29">
        <v>45971.48507260417</v>
      </c>
      <c r="B113" t="s">
        <v>25</v>
      </c>
      <c r="E113" t="s">
        <v>116</v>
      </c>
      <c r="F113" t="s">
        <v>118</v>
      </c>
      <c r="H113" s="25">
        <v>0</v>
      </c>
      <c r="I113" s="23">
        <v>50</v>
      </c>
      <c r="J113" s="25">
        <v>508</v>
      </c>
      <c r="L113" t="s">
        <v>71</v>
      </c>
      <c r="P113" t="s">
        <v>24</v>
      </c>
      <c r="Q113" s="29">
        <v>45973.796665567133</v>
      </c>
    </row>
    <row r="114" spans="1:17" x14ac:dyDescent="0.25">
      <c r="A114" s="29">
        <v>45971.485072615738</v>
      </c>
      <c r="B114" t="s">
        <v>25</v>
      </c>
      <c r="E114" t="s">
        <v>116</v>
      </c>
      <c r="F114" t="s">
        <v>119</v>
      </c>
      <c r="H114" s="25">
        <v>0</v>
      </c>
      <c r="I114" s="23">
        <v>25</v>
      </c>
      <c r="J114" s="25">
        <v>508</v>
      </c>
      <c r="L114" t="s">
        <v>71</v>
      </c>
      <c r="P114" t="s">
        <v>24</v>
      </c>
      <c r="Q114" s="29">
        <v>45973.796665567133</v>
      </c>
    </row>
    <row r="115" spans="1:17" x14ac:dyDescent="0.25">
      <c r="A115" s="29">
        <v>45971.485072615738</v>
      </c>
      <c r="B115" t="s">
        <v>25</v>
      </c>
      <c r="E115" t="s">
        <v>116</v>
      </c>
      <c r="F115" t="s">
        <v>120</v>
      </c>
      <c r="H115" s="25">
        <v>0</v>
      </c>
      <c r="I115" s="23">
        <v>60</v>
      </c>
      <c r="J115" s="25">
        <v>508</v>
      </c>
      <c r="L115" t="s">
        <v>71</v>
      </c>
      <c r="P115" t="s">
        <v>24</v>
      </c>
      <c r="Q115" s="29">
        <v>45973.796665567133</v>
      </c>
    </row>
    <row r="116" spans="1:17" x14ac:dyDescent="0.25">
      <c r="A116" s="29">
        <v>45971.485072615738</v>
      </c>
      <c r="B116" t="s">
        <v>25</v>
      </c>
      <c r="E116" t="s">
        <v>116</v>
      </c>
      <c r="F116" t="s">
        <v>64</v>
      </c>
      <c r="H116" s="25">
        <v>30000</v>
      </c>
      <c r="I116" s="23">
        <v>60.48</v>
      </c>
      <c r="J116" s="25">
        <v>508</v>
      </c>
      <c r="L116" t="s">
        <v>71</v>
      </c>
      <c r="P116" t="s">
        <v>24</v>
      </c>
      <c r="Q116" s="29">
        <v>45973.796665567133</v>
      </c>
    </row>
    <row r="117" spans="1:17" x14ac:dyDescent="0.25">
      <c r="A117" s="29">
        <v>45971.485072615738</v>
      </c>
      <c r="B117" t="s">
        <v>33</v>
      </c>
      <c r="E117" t="s">
        <v>116</v>
      </c>
      <c r="F117" t="s">
        <v>121</v>
      </c>
      <c r="H117" s="25">
        <v>0</v>
      </c>
      <c r="I117" s="23">
        <v>25</v>
      </c>
      <c r="J117" s="25">
        <v>508</v>
      </c>
      <c r="L117" t="s">
        <v>71</v>
      </c>
      <c r="P117" t="s">
        <v>24</v>
      </c>
      <c r="Q117" s="29">
        <v>45973.796665567133</v>
      </c>
    </row>
    <row r="118" spans="1:17" x14ac:dyDescent="0.25">
      <c r="A118" s="29">
        <v>45971.485072615738</v>
      </c>
      <c r="B118" t="s">
        <v>62</v>
      </c>
      <c r="E118" t="s">
        <v>116</v>
      </c>
      <c r="F118" t="s">
        <v>122</v>
      </c>
      <c r="H118" s="25">
        <v>0</v>
      </c>
      <c r="I118" s="23">
        <v>3.02</v>
      </c>
      <c r="J118" s="25">
        <v>508</v>
      </c>
      <c r="L118" t="s">
        <v>71</v>
      </c>
      <c r="P118" t="s">
        <v>24</v>
      </c>
      <c r="Q118" s="29">
        <v>45973.796665567133</v>
      </c>
    </row>
    <row r="119" spans="1:17" x14ac:dyDescent="0.25">
      <c r="A119" s="29">
        <v>45971.485072615738</v>
      </c>
      <c r="B119" t="s">
        <v>62</v>
      </c>
      <c r="E119" t="s">
        <v>116</v>
      </c>
      <c r="F119" t="s">
        <v>123</v>
      </c>
      <c r="H119" s="25">
        <v>300000</v>
      </c>
      <c r="I119" s="23">
        <v>607.29</v>
      </c>
      <c r="J119" s="25">
        <v>508</v>
      </c>
      <c r="L119" t="s">
        <v>71</v>
      </c>
      <c r="P119" t="s">
        <v>24</v>
      </c>
      <c r="Q119" s="29">
        <v>45973.796665567133</v>
      </c>
    </row>
    <row r="120" spans="1:17" x14ac:dyDescent="0.25">
      <c r="A120" s="29">
        <v>45971.485072615738</v>
      </c>
      <c r="B120" t="s">
        <v>62</v>
      </c>
      <c r="E120" t="s">
        <v>116</v>
      </c>
      <c r="F120" t="s">
        <v>124</v>
      </c>
      <c r="H120" s="25">
        <v>0</v>
      </c>
      <c r="I120" s="23">
        <v>321.86</v>
      </c>
      <c r="J120" s="25">
        <v>508</v>
      </c>
      <c r="L120" t="s">
        <v>71</v>
      </c>
      <c r="P120" t="s">
        <v>24</v>
      </c>
      <c r="Q120" s="29">
        <v>45973.796665567133</v>
      </c>
    </row>
    <row r="121" spans="1:17" x14ac:dyDescent="0.25">
      <c r="A121" s="29">
        <v>45971.485072615738</v>
      </c>
      <c r="B121" t="s">
        <v>25</v>
      </c>
      <c r="E121" t="s">
        <v>116</v>
      </c>
      <c r="F121" t="s">
        <v>117</v>
      </c>
      <c r="H121" s="25">
        <v>0</v>
      </c>
      <c r="I121" s="23">
        <v>75</v>
      </c>
      <c r="J121" s="25">
        <v>508</v>
      </c>
      <c r="L121" t="s">
        <v>71</v>
      </c>
      <c r="P121" t="s">
        <v>24</v>
      </c>
      <c r="Q121" s="29">
        <v>45973.796665578702</v>
      </c>
    </row>
    <row r="122" spans="1:17" x14ac:dyDescent="0.25">
      <c r="A122" s="29">
        <v>45971.485072615738</v>
      </c>
      <c r="B122" t="s">
        <v>25</v>
      </c>
      <c r="E122" t="s">
        <v>116</v>
      </c>
      <c r="F122" t="s">
        <v>118</v>
      </c>
      <c r="H122" s="25">
        <v>0</v>
      </c>
      <c r="I122" s="23">
        <v>50</v>
      </c>
      <c r="J122" s="25">
        <v>508</v>
      </c>
      <c r="L122" t="s">
        <v>71</v>
      </c>
      <c r="P122" t="s">
        <v>24</v>
      </c>
      <c r="Q122" s="29">
        <v>45973.796665578702</v>
      </c>
    </row>
    <row r="123" spans="1:17" x14ac:dyDescent="0.25">
      <c r="A123" s="29">
        <v>45971.485072615738</v>
      </c>
      <c r="B123" t="s">
        <v>25</v>
      </c>
      <c r="E123" t="s">
        <v>116</v>
      </c>
      <c r="F123" t="s">
        <v>119</v>
      </c>
      <c r="H123" s="25">
        <v>0</v>
      </c>
      <c r="I123" s="23">
        <v>25</v>
      </c>
      <c r="J123" s="25">
        <v>508</v>
      </c>
      <c r="L123" t="s">
        <v>71</v>
      </c>
      <c r="P123" t="s">
        <v>24</v>
      </c>
      <c r="Q123" s="29">
        <v>45973.796665578702</v>
      </c>
    </row>
    <row r="124" spans="1:17" x14ac:dyDescent="0.25">
      <c r="A124" s="29">
        <v>45971.485072615738</v>
      </c>
      <c r="B124" t="s">
        <v>25</v>
      </c>
      <c r="E124" t="s">
        <v>116</v>
      </c>
      <c r="F124" t="s">
        <v>120</v>
      </c>
      <c r="H124" s="25">
        <v>0</v>
      </c>
      <c r="I124" s="23">
        <v>60</v>
      </c>
      <c r="J124" s="25">
        <v>508</v>
      </c>
      <c r="L124" t="s">
        <v>71</v>
      </c>
      <c r="P124" t="s">
        <v>24</v>
      </c>
      <c r="Q124" s="29">
        <v>45973.796665590278</v>
      </c>
    </row>
    <row r="125" spans="1:17" x14ac:dyDescent="0.25">
      <c r="A125" s="29">
        <v>45971.485072615738</v>
      </c>
      <c r="B125" t="s">
        <v>33</v>
      </c>
      <c r="E125" t="s">
        <v>125</v>
      </c>
      <c r="F125" t="s">
        <v>126</v>
      </c>
      <c r="H125" s="25">
        <v>0</v>
      </c>
      <c r="I125" s="23">
        <v>50</v>
      </c>
      <c r="J125" s="25">
        <v>508</v>
      </c>
      <c r="L125" t="s">
        <v>71</v>
      </c>
      <c r="P125" t="s">
        <v>24</v>
      </c>
      <c r="Q125" s="29">
        <v>45973.796665590278</v>
      </c>
    </row>
    <row r="126" spans="1:17" x14ac:dyDescent="0.25">
      <c r="A126" s="29">
        <v>45971.485072615738</v>
      </c>
      <c r="B126" t="s">
        <v>33</v>
      </c>
      <c r="E126" t="s">
        <v>125</v>
      </c>
      <c r="F126" t="s">
        <v>127</v>
      </c>
      <c r="H126" s="25">
        <v>0</v>
      </c>
      <c r="I126" s="23">
        <v>101.42</v>
      </c>
      <c r="J126" s="25">
        <v>508</v>
      </c>
      <c r="L126" t="s">
        <v>71</v>
      </c>
      <c r="P126" t="s">
        <v>24</v>
      </c>
      <c r="Q126" s="29">
        <v>45973.796665590278</v>
      </c>
    </row>
    <row r="127" spans="1:17" x14ac:dyDescent="0.25">
      <c r="A127" s="29">
        <v>45971.485072615738</v>
      </c>
      <c r="B127" t="s">
        <v>25</v>
      </c>
      <c r="E127" t="s">
        <v>125</v>
      </c>
      <c r="F127" t="s">
        <v>64</v>
      </c>
      <c r="H127" s="25">
        <v>0</v>
      </c>
      <c r="I127" s="23">
        <v>100</v>
      </c>
      <c r="J127" s="25">
        <v>508</v>
      </c>
      <c r="L127" t="s">
        <v>71</v>
      </c>
      <c r="P127" t="s">
        <v>24</v>
      </c>
      <c r="Q127" s="29">
        <v>45973.796665590278</v>
      </c>
    </row>
    <row r="128" spans="1:17" x14ac:dyDescent="0.25">
      <c r="A128" s="29">
        <v>45971.485072615738</v>
      </c>
      <c r="B128" t="s">
        <v>73</v>
      </c>
      <c r="E128" t="s">
        <v>125</v>
      </c>
      <c r="F128" t="s">
        <v>112</v>
      </c>
      <c r="H128" s="25">
        <v>0</v>
      </c>
      <c r="I128" s="23">
        <v>109.66</v>
      </c>
      <c r="J128" s="25">
        <v>508</v>
      </c>
      <c r="L128" t="s">
        <v>71</v>
      </c>
      <c r="P128" t="s">
        <v>24</v>
      </c>
      <c r="Q128" s="29">
        <v>45973.796665590278</v>
      </c>
    </row>
    <row r="129" spans="1:17" x14ac:dyDescent="0.25">
      <c r="A129" s="29">
        <v>45971.485072615738</v>
      </c>
      <c r="B129" t="s">
        <v>62</v>
      </c>
      <c r="E129" t="s">
        <v>125</v>
      </c>
      <c r="F129" t="s">
        <v>128</v>
      </c>
      <c r="H129" s="25">
        <v>100000</v>
      </c>
      <c r="I129" s="23">
        <v>202.84</v>
      </c>
      <c r="J129" s="25">
        <v>508</v>
      </c>
      <c r="L129" t="s">
        <v>71</v>
      </c>
      <c r="P129" t="s">
        <v>24</v>
      </c>
      <c r="Q129" s="29">
        <v>45973.796665590278</v>
      </c>
    </row>
    <row r="130" spans="1:17" x14ac:dyDescent="0.25">
      <c r="A130" s="29">
        <v>45971.485072627307</v>
      </c>
      <c r="B130" t="s">
        <v>62</v>
      </c>
      <c r="E130" t="s">
        <v>125</v>
      </c>
      <c r="F130" t="s">
        <v>128</v>
      </c>
      <c r="H130" s="25">
        <v>0</v>
      </c>
      <c r="I130" s="23">
        <v>139.72</v>
      </c>
      <c r="J130" s="25">
        <v>508</v>
      </c>
      <c r="L130" t="s">
        <v>71</v>
      </c>
      <c r="P130" t="s">
        <v>24</v>
      </c>
      <c r="Q130" s="29">
        <v>45973.796665590278</v>
      </c>
    </row>
    <row r="131" spans="1:17" x14ac:dyDescent="0.25">
      <c r="A131" s="29">
        <v>45971.485072627307</v>
      </c>
      <c r="B131" t="s">
        <v>73</v>
      </c>
      <c r="E131" t="s">
        <v>125</v>
      </c>
      <c r="F131" t="s">
        <v>129</v>
      </c>
      <c r="H131" s="25">
        <v>0</v>
      </c>
      <c r="I131" s="23">
        <v>500</v>
      </c>
      <c r="J131" s="25">
        <v>508</v>
      </c>
      <c r="L131" t="s">
        <v>71</v>
      </c>
      <c r="P131" t="s">
        <v>24</v>
      </c>
      <c r="Q131" s="29">
        <v>45973.796665590278</v>
      </c>
    </row>
    <row r="132" spans="1:17" x14ac:dyDescent="0.25">
      <c r="A132" s="29">
        <v>45971.485072627307</v>
      </c>
      <c r="B132" t="s">
        <v>33</v>
      </c>
      <c r="E132" t="s">
        <v>130</v>
      </c>
      <c r="F132" t="s">
        <v>127</v>
      </c>
      <c r="H132" s="25">
        <v>12126</v>
      </c>
      <c r="I132" s="23">
        <v>23.94</v>
      </c>
      <c r="J132" s="25">
        <v>508</v>
      </c>
      <c r="L132" t="s">
        <v>71</v>
      </c>
      <c r="P132" t="s">
        <v>24</v>
      </c>
      <c r="Q132" s="29">
        <v>45973.796665590278</v>
      </c>
    </row>
    <row r="133" spans="1:17" x14ac:dyDescent="0.25">
      <c r="A133" s="29">
        <v>45971.485072627307</v>
      </c>
      <c r="B133" t="s">
        <v>33</v>
      </c>
      <c r="E133" t="s">
        <v>130</v>
      </c>
      <c r="F133" t="s">
        <v>121</v>
      </c>
      <c r="H133" s="25">
        <v>3000</v>
      </c>
      <c r="I133" s="23">
        <v>5.92</v>
      </c>
      <c r="J133" s="25">
        <v>508</v>
      </c>
      <c r="L133" t="s">
        <v>71</v>
      </c>
      <c r="P133" t="s">
        <v>24</v>
      </c>
      <c r="Q133" s="29">
        <v>45973.796665590278</v>
      </c>
    </row>
    <row r="134" spans="1:17" x14ac:dyDescent="0.25">
      <c r="A134" s="29">
        <v>45971.485072627307</v>
      </c>
      <c r="B134" t="s">
        <v>73</v>
      </c>
      <c r="E134" t="s">
        <v>130</v>
      </c>
      <c r="F134" t="s">
        <v>64</v>
      </c>
      <c r="H134" s="25">
        <v>30000</v>
      </c>
      <c r="I134" s="23">
        <v>60.48</v>
      </c>
      <c r="J134" s="25">
        <v>508</v>
      </c>
      <c r="L134" t="s">
        <v>71</v>
      </c>
      <c r="P134" t="s">
        <v>24</v>
      </c>
      <c r="Q134" s="29">
        <v>45973.796665590278</v>
      </c>
    </row>
    <row r="135" spans="1:17" x14ac:dyDescent="0.25">
      <c r="A135" s="29">
        <v>45971.485072627307</v>
      </c>
      <c r="B135" t="s">
        <v>73</v>
      </c>
      <c r="E135" t="s">
        <v>130</v>
      </c>
      <c r="F135" t="s">
        <v>131</v>
      </c>
      <c r="H135" s="25">
        <v>20000</v>
      </c>
      <c r="I135" s="23">
        <v>39.49</v>
      </c>
      <c r="J135" s="25">
        <v>508</v>
      </c>
      <c r="L135" t="s">
        <v>71</v>
      </c>
      <c r="P135" t="s">
        <v>24</v>
      </c>
      <c r="Q135" s="29">
        <v>45973.796665590278</v>
      </c>
    </row>
    <row r="136" spans="1:17" x14ac:dyDescent="0.25">
      <c r="A136" s="29">
        <v>45971.485072627307</v>
      </c>
      <c r="B136" t="s">
        <v>33</v>
      </c>
      <c r="E136" t="s">
        <v>130</v>
      </c>
      <c r="F136" t="s">
        <v>132</v>
      </c>
      <c r="H136" s="25">
        <v>25000</v>
      </c>
      <c r="I136" s="23">
        <v>49.36</v>
      </c>
      <c r="J136" s="25">
        <v>508</v>
      </c>
      <c r="L136" t="s">
        <v>71</v>
      </c>
      <c r="P136" t="s">
        <v>24</v>
      </c>
      <c r="Q136" s="29">
        <v>45973.796665590278</v>
      </c>
    </row>
    <row r="137" spans="1:17" x14ac:dyDescent="0.25">
      <c r="A137" s="29">
        <v>45971.485072627307</v>
      </c>
      <c r="B137" t="s">
        <v>33</v>
      </c>
      <c r="E137" t="s">
        <v>130</v>
      </c>
      <c r="F137" t="s">
        <v>133</v>
      </c>
      <c r="H137" s="25">
        <v>10000</v>
      </c>
      <c r="I137" s="23">
        <v>19.739999999999998</v>
      </c>
      <c r="J137" s="25">
        <v>508</v>
      </c>
      <c r="L137" t="s">
        <v>71</v>
      </c>
      <c r="P137" t="s">
        <v>24</v>
      </c>
      <c r="Q137" s="29">
        <v>45973.796665590278</v>
      </c>
    </row>
    <row r="138" spans="1:17" x14ac:dyDescent="0.25">
      <c r="A138" s="29">
        <v>45971.485072627307</v>
      </c>
      <c r="B138" t="s">
        <v>33</v>
      </c>
      <c r="E138" t="s">
        <v>130</v>
      </c>
      <c r="F138" t="s">
        <v>134</v>
      </c>
      <c r="H138" s="25">
        <v>70000</v>
      </c>
      <c r="I138" s="23">
        <v>138.19999999999999</v>
      </c>
      <c r="J138" s="25">
        <v>508</v>
      </c>
      <c r="L138" t="s">
        <v>71</v>
      </c>
      <c r="P138" t="s">
        <v>24</v>
      </c>
      <c r="Q138" s="29">
        <v>45973.796665590278</v>
      </c>
    </row>
    <row r="139" spans="1:17" x14ac:dyDescent="0.25">
      <c r="A139" s="29">
        <v>45971.485072627307</v>
      </c>
      <c r="B139" t="s">
        <v>62</v>
      </c>
      <c r="E139" t="s">
        <v>130</v>
      </c>
      <c r="F139" t="s">
        <v>135</v>
      </c>
      <c r="H139" s="25">
        <v>31434</v>
      </c>
      <c r="I139" s="23">
        <v>62</v>
      </c>
      <c r="J139" s="25">
        <v>508</v>
      </c>
      <c r="L139" t="s">
        <v>71</v>
      </c>
      <c r="P139" t="s">
        <v>24</v>
      </c>
      <c r="Q139" s="29">
        <v>45973.796665590278</v>
      </c>
    </row>
    <row r="140" spans="1:17" x14ac:dyDescent="0.25">
      <c r="A140" s="29">
        <v>45971.485072627307</v>
      </c>
      <c r="B140" t="s">
        <v>62</v>
      </c>
      <c r="E140" t="s">
        <v>130</v>
      </c>
      <c r="F140" t="s">
        <v>135</v>
      </c>
      <c r="H140" s="25">
        <v>271600</v>
      </c>
      <c r="I140" s="23">
        <v>536.23</v>
      </c>
      <c r="J140" s="25">
        <v>508</v>
      </c>
      <c r="L140" t="s">
        <v>71</v>
      </c>
      <c r="P140" t="s">
        <v>24</v>
      </c>
      <c r="Q140" s="29">
        <v>45973.796665590278</v>
      </c>
    </row>
    <row r="141" spans="1:17" x14ac:dyDescent="0.25">
      <c r="A141" s="29">
        <v>45971.485072627307</v>
      </c>
      <c r="B141" t="s">
        <v>62</v>
      </c>
      <c r="E141" t="s">
        <v>130</v>
      </c>
      <c r="F141" t="s">
        <v>123</v>
      </c>
      <c r="H141" s="25">
        <v>5070</v>
      </c>
      <c r="I141" s="23">
        <v>10.01</v>
      </c>
      <c r="J141" s="25">
        <v>508</v>
      </c>
      <c r="L141" t="s">
        <v>71</v>
      </c>
      <c r="P141" t="s">
        <v>24</v>
      </c>
      <c r="Q141" s="29">
        <v>45973.796665590278</v>
      </c>
    </row>
    <row r="142" spans="1:17" x14ac:dyDescent="0.25">
      <c r="A142" s="29">
        <v>45971.485072627307</v>
      </c>
      <c r="B142" t="s">
        <v>33</v>
      </c>
      <c r="E142" t="s">
        <v>130</v>
      </c>
      <c r="F142" t="s">
        <v>136</v>
      </c>
      <c r="H142" s="25">
        <v>5000</v>
      </c>
      <c r="I142" s="23">
        <v>9.8699999999999992</v>
      </c>
      <c r="J142" s="25">
        <v>508</v>
      </c>
      <c r="L142" t="s">
        <v>71</v>
      </c>
      <c r="P142" t="s">
        <v>24</v>
      </c>
      <c r="Q142" s="29">
        <v>45973.796665590278</v>
      </c>
    </row>
    <row r="143" spans="1:17" x14ac:dyDescent="0.25">
      <c r="A143" s="29">
        <v>45971.485072627307</v>
      </c>
      <c r="B143" t="s">
        <v>73</v>
      </c>
      <c r="E143" t="s">
        <v>130</v>
      </c>
      <c r="F143" t="s">
        <v>64</v>
      </c>
      <c r="H143" s="25">
        <v>30000</v>
      </c>
      <c r="I143" s="23">
        <v>60.85</v>
      </c>
      <c r="J143" s="25">
        <v>508</v>
      </c>
      <c r="L143" t="s">
        <v>71</v>
      </c>
      <c r="P143" t="s">
        <v>24</v>
      </c>
      <c r="Q143" s="29">
        <v>45973.796665590278</v>
      </c>
    </row>
    <row r="144" spans="1:17" x14ac:dyDescent="0.25">
      <c r="A144" s="29">
        <v>45971.485072627307</v>
      </c>
      <c r="B144" t="s">
        <v>25</v>
      </c>
      <c r="E144" t="s">
        <v>130</v>
      </c>
      <c r="F144" t="s">
        <v>64</v>
      </c>
      <c r="H144" s="25">
        <v>386080.45</v>
      </c>
      <c r="I144" s="23">
        <v>762.25</v>
      </c>
      <c r="J144" s="25">
        <v>508</v>
      </c>
      <c r="L144" t="s">
        <v>71</v>
      </c>
      <c r="P144" t="s">
        <v>24</v>
      </c>
      <c r="Q144" s="29">
        <v>45973.796665590278</v>
      </c>
    </row>
    <row r="145" spans="1:17" x14ac:dyDescent="0.25">
      <c r="A145" s="29">
        <v>45971.485072627307</v>
      </c>
      <c r="B145" t="s">
        <v>33</v>
      </c>
      <c r="E145" t="s">
        <v>130</v>
      </c>
      <c r="F145" t="s">
        <v>137</v>
      </c>
      <c r="H145" s="25">
        <v>36000</v>
      </c>
      <c r="I145" s="23">
        <v>71.08</v>
      </c>
      <c r="J145" s="25">
        <v>508</v>
      </c>
      <c r="L145" t="s">
        <v>71</v>
      </c>
      <c r="P145" t="s">
        <v>24</v>
      </c>
      <c r="Q145" s="29">
        <v>45973.796665590278</v>
      </c>
    </row>
    <row r="146" spans="1:17" x14ac:dyDescent="0.25">
      <c r="A146" s="29">
        <v>45971.485072627307</v>
      </c>
      <c r="B146" t="s">
        <v>73</v>
      </c>
      <c r="E146" t="s">
        <v>130</v>
      </c>
      <c r="F146" t="s">
        <v>127</v>
      </c>
      <c r="H146" s="25">
        <v>2000</v>
      </c>
      <c r="I146" s="23">
        <v>3.95</v>
      </c>
      <c r="J146" s="25">
        <v>508</v>
      </c>
      <c r="L146" t="s">
        <v>71</v>
      </c>
      <c r="P146" t="s">
        <v>24</v>
      </c>
      <c r="Q146" s="29">
        <v>45973.796665590278</v>
      </c>
    </row>
    <row r="147" spans="1:17" x14ac:dyDescent="0.25">
      <c r="A147" s="29">
        <v>45971.48507263889</v>
      </c>
      <c r="B147" t="s">
        <v>33</v>
      </c>
      <c r="E147" t="s">
        <v>105</v>
      </c>
      <c r="F147" t="s">
        <v>115</v>
      </c>
      <c r="H147" s="25">
        <v>0</v>
      </c>
      <c r="I147" s="23">
        <v>21.16</v>
      </c>
      <c r="J147" s="25">
        <v>508</v>
      </c>
      <c r="L147" t="s">
        <v>71</v>
      </c>
      <c r="P147" t="s">
        <v>24</v>
      </c>
      <c r="Q147" s="29">
        <v>45973.796665590278</v>
      </c>
    </row>
    <row r="148" spans="1:17" x14ac:dyDescent="0.25">
      <c r="A148" s="29">
        <v>45971.48507263889</v>
      </c>
      <c r="B148" t="s">
        <v>33</v>
      </c>
      <c r="E148" t="s">
        <v>105</v>
      </c>
      <c r="F148" t="s">
        <v>138</v>
      </c>
      <c r="H148" s="25">
        <v>6774.35</v>
      </c>
      <c r="I148" s="23">
        <v>13.37</v>
      </c>
      <c r="J148" s="25">
        <v>508</v>
      </c>
      <c r="L148" t="s">
        <v>71</v>
      </c>
      <c r="P148" t="s">
        <v>24</v>
      </c>
      <c r="Q148" s="29">
        <v>45973.796665590278</v>
      </c>
    </row>
    <row r="149" spans="1:17" x14ac:dyDescent="0.25">
      <c r="A149" s="29">
        <v>45971.48507263889</v>
      </c>
      <c r="B149" t="s">
        <v>33</v>
      </c>
      <c r="E149" t="s">
        <v>105</v>
      </c>
      <c r="F149" t="s">
        <v>115</v>
      </c>
      <c r="H149" s="25">
        <v>0</v>
      </c>
      <c r="I149" s="23">
        <v>30.06</v>
      </c>
      <c r="J149" s="25">
        <v>508</v>
      </c>
      <c r="L149" t="s">
        <v>71</v>
      </c>
      <c r="P149" t="s">
        <v>24</v>
      </c>
      <c r="Q149" s="29">
        <v>45973.796665590278</v>
      </c>
    </row>
    <row r="150" spans="1:17" x14ac:dyDescent="0.25">
      <c r="A150" s="29">
        <v>45971.48507263889</v>
      </c>
      <c r="B150" t="s">
        <v>33</v>
      </c>
      <c r="E150" t="s">
        <v>105</v>
      </c>
      <c r="F150" t="s">
        <v>126</v>
      </c>
      <c r="H150" s="25">
        <v>5700</v>
      </c>
      <c r="I150" s="23">
        <v>11.25</v>
      </c>
      <c r="J150" s="25">
        <v>508</v>
      </c>
      <c r="L150" t="s">
        <v>71</v>
      </c>
      <c r="P150" t="s">
        <v>24</v>
      </c>
      <c r="Q150" s="29">
        <v>45973.796665590278</v>
      </c>
    </row>
    <row r="151" spans="1:17" x14ac:dyDescent="0.25">
      <c r="A151" s="29">
        <v>45971.48507263889</v>
      </c>
      <c r="B151" t="s">
        <v>33</v>
      </c>
      <c r="E151" t="s">
        <v>105</v>
      </c>
      <c r="F151" t="s">
        <v>139</v>
      </c>
      <c r="H151" s="25">
        <v>22800</v>
      </c>
      <c r="I151" s="23">
        <v>45.01</v>
      </c>
      <c r="J151" s="25">
        <v>508</v>
      </c>
      <c r="L151" t="s">
        <v>71</v>
      </c>
      <c r="P151" t="s">
        <v>24</v>
      </c>
      <c r="Q151" s="29">
        <v>45973.796665590278</v>
      </c>
    </row>
    <row r="152" spans="1:17" x14ac:dyDescent="0.25">
      <c r="A152" s="29">
        <v>45971.48507263889</v>
      </c>
      <c r="B152" t="s">
        <v>33</v>
      </c>
      <c r="E152" t="s">
        <v>105</v>
      </c>
      <c r="F152" t="s">
        <v>139</v>
      </c>
      <c r="H152" s="25">
        <v>3750</v>
      </c>
      <c r="I152" s="23">
        <v>7.4</v>
      </c>
      <c r="J152" s="25">
        <v>508</v>
      </c>
      <c r="L152" t="s">
        <v>71</v>
      </c>
      <c r="P152" t="s">
        <v>24</v>
      </c>
      <c r="Q152" s="29">
        <v>45973.796665590278</v>
      </c>
    </row>
    <row r="153" spans="1:17" x14ac:dyDescent="0.25">
      <c r="A153" s="29">
        <v>45971.48507263889</v>
      </c>
      <c r="B153" t="s">
        <v>33</v>
      </c>
      <c r="E153" t="s">
        <v>105</v>
      </c>
      <c r="F153" t="s">
        <v>140</v>
      </c>
      <c r="H153" s="25">
        <v>6550</v>
      </c>
      <c r="I153" s="23">
        <v>12.93</v>
      </c>
      <c r="J153" s="25">
        <v>508</v>
      </c>
      <c r="L153" t="s">
        <v>71</v>
      </c>
      <c r="P153" t="s">
        <v>24</v>
      </c>
      <c r="Q153" s="29">
        <v>45973.796665590278</v>
      </c>
    </row>
    <row r="154" spans="1:17" x14ac:dyDescent="0.25">
      <c r="A154" s="29">
        <v>45971.48507263889</v>
      </c>
      <c r="B154" t="s">
        <v>33</v>
      </c>
      <c r="E154" t="s">
        <v>105</v>
      </c>
      <c r="F154" t="s">
        <v>138</v>
      </c>
      <c r="H154" s="25">
        <v>54010</v>
      </c>
      <c r="I154" s="23">
        <v>106.63</v>
      </c>
      <c r="J154" s="25">
        <v>508</v>
      </c>
      <c r="L154" t="s">
        <v>71</v>
      </c>
      <c r="P154" t="s">
        <v>24</v>
      </c>
      <c r="Q154" s="29">
        <v>45973.796665590278</v>
      </c>
    </row>
    <row r="155" spans="1:17" x14ac:dyDescent="0.25">
      <c r="A155" s="29">
        <v>45971.48507263889</v>
      </c>
      <c r="B155" t="s">
        <v>33</v>
      </c>
      <c r="E155" t="s">
        <v>105</v>
      </c>
      <c r="F155" t="s">
        <v>138</v>
      </c>
      <c r="H155" s="25">
        <v>122605</v>
      </c>
      <c r="I155" s="23">
        <v>242.06</v>
      </c>
      <c r="J155" s="25">
        <v>508</v>
      </c>
      <c r="L155" t="s">
        <v>71</v>
      </c>
      <c r="P155" t="s">
        <v>24</v>
      </c>
      <c r="Q155" s="29">
        <v>45973.796665590278</v>
      </c>
    </row>
    <row r="156" spans="1:17" x14ac:dyDescent="0.25">
      <c r="A156" s="29">
        <v>45971.48507263889</v>
      </c>
      <c r="B156" t="s">
        <v>33</v>
      </c>
      <c r="E156" t="s">
        <v>105</v>
      </c>
      <c r="F156" t="s">
        <v>138</v>
      </c>
      <c r="H156" s="25">
        <v>50</v>
      </c>
      <c r="I156" s="23">
        <v>0.1</v>
      </c>
      <c r="J156" s="25">
        <v>508</v>
      </c>
      <c r="L156" t="s">
        <v>71</v>
      </c>
      <c r="P156" t="s">
        <v>24</v>
      </c>
      <c r="Q156" s="29">
        <v>45973.796665590278</v>
      </c>
    </row>
    <row r="157" spans="1:17" x14ac:dyDescent="0.25">
      <c r="A157" s="29">
        <v>45971.485072662043</v>
      </c>
      <c r="B157" t="s">
        <v>33</v>
      </c>
      <c r="E157" t="s">
        <v>105</v>
      </c>
      <c r="F157" t="s">
        <v>138</v>
      </c>
      <c r="H157" s="25">
        <v>-3350</v>
      </c>
      <c r="I157" s="23">
        <v>-6.61</v>
      </c>
      <c r="J157" s="25">
        <v>508</v>
      </c>
      <c r="L157" t="s">
        <v>71</v>
      </c>
      <c r="P157" t="s">
        <v>24</v>
      </c>
      <c r="Q157" s="29">
        <v>45973.796665590278</v>
      </c>
    </row>
    <row r="158" spans="1:17" x14ac:dyDescent="0.25">
      <c r="A158" s="29">
        <v>45971.485072662043</v>
      </c>
      <c r="B158" t="s">
        <v>58</v>
      </c>
      <c r="E158" t="s">
        <v>105</v>
      </c>
      <c r="F158" t="s">
        <v>141</v>
      </c>
      <c r="H158" s="25">
        <v>0</v>
      </c>
      <c r="I158" s="23">
        <v>89.71</v>
      </c>
      <c r="J158" s="25">
        <v>508</v>
      </c>
      <c r="L158" t="s">
        <v>71</v>
      </c>
      <c r="P158" t="s">
        <v>24</v>
      </c>
      <c r="Q158" s="29">
        <v>45973.796665590278</v>
      </c>
    </row>
    <row r="159" spans="1:17" x14ac:dyDescent="0.25">
      <c r="A159" s="29">
        <v>45971.485072662043</v>
      </c>
      <c r="B159" t="s">
        <v>33</v>
      </c>
      <c r="E159" t="s">
        <v>105</v>
      </c>
      <c r="F159" t="s">
        <v>142</v>
      </c>
      <c r="H159" s="25">
        <v>3200</v>
      </c>
      <c r="I159" s="23">
        <v>6.32</v>
      </c>
      <c r="J159" s="25">
        <v>508</v>
      </c>
      <c r="L159" t="s">
        <v>71</v>
      </c>
      <c r="P159" t="s">
        <v>24</v>
      </c>
      <c r="Q159" s="29">
        <v>45973.796665590278</v>
      </c>
    </row>
    <row r="160" spans="1:17" x14ac:dyDescent="0.25">
      <c r="A160" s="29">
        <v>45971.485072673611</v>
      </c>
      <c r="B160" t="s">
        <v>33</v>
      </c>
      <c r="E160" t="s">
        <v>105</v>
      </c>
      <c r="F160" t="s">
        <v>143</v>
      </c>
      <c r="H160" s="25">
        <v>600</v>
      </c>
      <c r="I160" s="23">
        <v>1.18</v>
      </c>
      <c r="J160" s="25">
        <v>508</v>
      </c>
      <c r="L160" t="s">
        <v>71</v>
      </c>
      <c r="P160" t="s">
        <v>24</v>
      </c>
      <c r="Q160" s="29">
        <v>45973.796665590278</v>
      </c>
    </row>
    <row r="161" spans="1:17" x14ac:dyDescent="0.25">
      <c r="A161" s="29">
        <v>45971.485072673611</v>
      </c>
      <c r="B161" t="s">
        <v>33</v>
      </c>
      <c r="E161" t="s">
        <v>105</v>
      </c>
      <c r="F161" t="s">
        <v>144</v>
      </c>
      <c r="H161" s="25">
        <v>2400</v>
      </c>
      <c r="I161" s="23">
        <v>4.74</v>
      </c>
      <c r="J161" s="25">
        <v>508</v>
      </c>
      <c r="L161" t="s">
        <v>71</v>
      </c>
      <c r="P161" t="s">
        <v>24</v>
      </c>
      <c r="Q161" s="29">
        <v>45973.796665590278</v>
      </c>
    </row>
    <row r="162" spans="1:17" x14ac:dyDescent="0.25">
      <c r="A162" s="29">
        <v>45971.485072673611</v>
      </c>
      <c r="B162" t="s">
        <v>58</v>
      </c>
      <c r="E162" t="s">
        <v>105</v>
      </c>
      <c r="F162" t="s">
        <v>141</v>
      </c>
      <c r="H162" s="25">
        <v>0</v>
      </c>
      <c r="I162" s="23">
        <v>38.51</v>
      </c>
      <c r="J162" s="25">
        <v>508</v>
      </c>
      <c r="L162" t="s">
        <v>71</v>
      </c>
      <c r="P162" t="s">
        <v>24</v>
      </c>
      <c r="Q162" s="29">
        <v>45973.796665590278</v>
      </c>
    </row>
    <row r="163" spans="1:17" x14ac:dyDescent="0.25">
      <c r="A163" s="29">
        <v>45971.485072673611</v>
      </c>
      <c r="B163" t="s">
        <v>33</v>
      </c>
      <c r="E163" t="s">
        <v>105</v>
      </c>
      <c r="F163" t="s">
        <v>106</v>
      </c>
      <c r="H163" s="25">
        <v>0</v>
      </c>
      <c r="I163" s="23">
        <v>7.33</v>
      </c>
      <c r="J163" s="25">
        <v>508</v>
      </c>
      <c r="L163" t="s">
        <v>71</v>
      </c>
      <c r="P163" t="s">
        <v>24</v>
      </c>
      <c r="Q163" s="29">
        <v>45973.796665590278</v>
      </c>
    </row>
    <row r="164" spans="1:17" x14ac:dyDescent="0.25">
      <c r="A164" s="29">
        <v>45971.485072673611</v>
      </c>
      <c r="B164" t="s">
        <v>58</v>
      </c>
      <c r="E164" t="s">
        <v>109</v>
      </c>
      <c r="F164" t="s">
        <v>145</v>
      </c>
      <c r="H164" s="25">
        <v>0</v>
      </c>
      <c r="I164" s="23">
        <v>10</v>
      </c>
      <c r="J164" s="25">
        <v>508</v>
      </c>
      <c r="L164" t="s">
        <v>71</v>
      </c>
      <c r="P164" t="s">
        <v>24</v>
      </c>
      <c r="Q164" s="29">
        <v>45973.796665590278</v>
      </c>
    </row>
    <row r="165" spans="1:17" x14ac:dyDescent="0.25">
      <c r="A165" s="29">
        <v>45971.485072673611</v>
      </c>
      <c r="B165" t="s">
        <v>58</v>
      </c>
      <c r="E165" t="s">
        <v>109</v>
      </c>
      <c r="F165" t="s">
        <v>110</v>
      </c>
      <c r="H165" s="25">
        <v>0</v>
      </c>
      <c r="I165" s="23">
        <v>39.99</v>
      </c>
      <c r="J165" s="25">
        <v>508</v>
      </c>
      <c r="L165" t="s">
        <v>71</v>
      </c>
      <c r="P165" t="s">
        <v>24</v>
      </c>
      <c r="Q165" s="29">
        <v>45973.796665590278</v>
      </c>
    </row>
    <row r="166" spans="1:17" x14ac:dyDescent="0.25">
      <c r="A166" s="29">
        <v>45971.485072673611</v>
      </c>
      <c r="B166" t="s">
        <v>33</v>
      </c>
      <c r="E166" t="s">
        <v>109</v>
      </c>
      <c r="F166" t="s">
        <v>146</v>
      </c>
      <c r="H166" s="25">
        <v>0</v>
      </c>
      <c r="I166" s="23">
        <v>21.45</v>
      </c>
      <c r="J166" s="25">
        <v>508</v>
      </c>
      <c r="L166" t="s">
        <v>71</v>
      </c>
      <c r="P166" t="s">
        <v>24</v>
      </c>
      <c r="Q166" s="29">
        <v>45973.796665590278</v>
      </c>
    </row>
    <row r="167" spans="1:17" x14ac:dyDescent="0.25">
      <c r="A167" s="29">
        <v>45971.485072673611</v>
      </c>
      <c r="B167" t="s">
        <v>58</v>
      </c>
      <c r="E167" t="s">
        <v>111</v>
      </c>
      <c r="F167" t="s">
        <v>147</v>
      </c>
      <c r="H167" s="25">
        <v>0</v>
      </c>
      <c r="I167" s="23">
        <v>275</v>
      </c>
      <c r="J167" s="25">
        <v>508</v>
      </c>
      <c r="L167" t="s">
        <v>71</v>
      </c>
      <c r="P167" t="s">
        <v>24</v>
      </c>
      <c r="Q167" s="29">
        <v>45973.796665590278</v>
      </c>
    </row>
    <row r="168" spans="1:17" x14ac:dyDescent="0.25">
      <c r="A168" s="29">
        <v>45971.511196261577</v>
      </c>
      <c r="B168" t="s">
        <v>25</v>
      </c>
      <c r="E168" t="s">
        <v>21</v>
      </c>
      <c r="F168" t="s">
        <v>64</v>
      </c>
      <c r="H168" s="25">
        <v>0</v>
      </c>
      <c r="I168" s="23">
        <v>-500</v>
      </c>
      <c r="J168" s="25">
        <v>508</v>
      </c>
      <c r="L168" t="s">
        <v>71</v>
      </c>
      <c r="P168" t="s">
        <v>24</v>
      </c>
      <c r="Q168" s="29">
        <v>45973.796665601847</v>
      </c>
    </row>
    <row r="169" spans="1:17" x14ac:dyDescent="0.25">
      <c r="A169" s="29">
        <v>45971.511196261577</v>
      </c>
      <c r="B169" t="s">
        <v>73</v>
      </c>
      <c r="E169" t="s">
        <v>21</v>
      </c>
      <c r="F169" t="s">
        <v>148</v>
      </c>
      <c r="H169" s="25">
        <v>0</v>
      </c>
      <c r="I169" s="23">
        <v>350</v>
      </c>
      <c r="J169" s="25">
        <v>508</v>
      </c>
      <c r="L169" t="s">
        <v>71</v>
      </c>
      <c r="P169" t="s">
        <v>24</v>
      </c>
      <c r="Q169" s="29">
        <v>45973.796665601847</v>
      </c>
    </row>
    <row r="170" spans="1:17" x14ac:dyDescent="0.25">
      <c r="A170" s="29">
        <v>45971.511196261577</v>
      </c>
      <c r="B170" t="s">
        <v>58</v>
      </c>
      <c r="E170" t="s">
        <v>21</v>
      </c>
      <c r="F170" t="s">
        <v>149</v>
      </c>
      <c r="H170" s="25">
        <v>0</v>
      </c>
      <c r="I170" s="23">
        <v>-149.01</v>
      </c>
      <c r="J170" s="25">
        <v>508</v>
      </c>
      <c r="L170" t="s">
        <v>71</v>
      </c>
      <c r="P170" t="s">
        <v>24</v>
      </c>
      <c r="Q170" s="29">
        <v>45973.796665601847</v>
      </c>
    </row>
    <row r="171" spans="1:17" x14ac:dyDescent="0.25">
      <c r="A171" s="29">
        <v>45971.511196261577</v>
      </c>
      <c r="B171" t="s">
        <v>33</v>
      </c>
      <c r="E171" t="s">
        <v>21</v>
      </c>
      <c r="F171" t="s">
        <v>150</v>
      </c>
      <c r="H171" s="25">
        <v>0</v>
      </c>
      <c r="I171" s="23">
        <v>-775</v>
      </c>
      <c r="J171" s="25">
        <v>508</v>
      </c>
      <c r="L171" t="s">
        <v>71</v>
      </c>
      <c r="P171" t="s">
        <v>24</v>
      </c>
      <c r="Q171" s="29">
        <v>45973.796665601847</v>
      </c>
    </row>
    <row r="172" spans="1:17" x14ac:dyDescent="0.25">
      <c r="A172" s="29">
        <v>45971.511196261577</v>
      </c>
      <c r="B172" t="s">
        <v>58</v>
      </c>
      <c r="E172" t="s">
        <v>21</v>
      </c>
      <c r="F172" t="s">
        <v>102</v>
      </c>
      <c r="H172" s="25">
        <v>0</v>
      </c>
      <c r="I172" s="23">
        <v>-410.09</v>
      </c>
      <c r="J172" s="25">
        <v>508</v>
      </c>
      <c r="L172" t="s">
        <v>71</v>
      </c>
      <c r="P172" t="s">
        <v>24</v>
      </c>
      <c r="Q172" s="29">
        <v>45973.796665601847</v>
      </c>
    </row>
    <row r="173" spans="1:17" x14ac:dyDescent="0.25">
      <c r="A173" s="29">
        <v>45971.511196261577</v>
      </c>
      <c r="B173" t="s">
        <v>73</v>
      </c>
      <c r="E173" t="s">
        <v>21</v>
      </c>
      <c r="F173" t="s">
        <v>151</v>
      </c>
      <c r="H173" s="25">
        <v>0</v>
      </c>
      <c r="I173" s="23">
        <v>1186.5</v>
      </c>
      <c r="J173" s="25">
        <v>508</v>
      </c>
      <c r="L173" t="s">
        <v>71</v>
      </c>
      <c r="P173" t="s">
        <v>24</v>
      </c>
      <c r="Q173" s="29">
        <v>45973.796665601847</v>
      </c>
    </row>
    <row r="174" spans="1:17" x14ac:dyDescent="0.25">
      <c r="A174" s="29">
        <v>45971.511196273153</v>
      </c>
      <c r="B174" t="s">
        <v>33</v>
      </c>
      <c r="E174" t="s">
        <v>21</v>
      </c>
      <c r="F174" t="s">
        <v>85</v>
      </c>
      <c r="H174" s="25">
        <v>0</v>
      </c>
      <c r="I174" s="23">
        <v>-73.61</v>
      </c>
      <c r="J174" s="25">
        <v>508</v>
      </c>
      <c r="L174" t="s">
        <v>71</v>
      </c>
      <c r="P174" t="s">
        <v>24</v>
      </c>
      <c r="Q174" s="29">
        <v>45973.796665601847</v>
      </c>
    </row>
    <row r="175" spans="1:17" x14ac:dyDescent="0.25">
      <c r="A175" s="29">
        <v>45971.511196273153</v>
      </c>
      <c r="B175" t="s">
        <v>58</v>
      </c>
      <c r="E175" t="s">
        <v>21</v>
      </c>
      <c r="F175" t="s">
        <v>152</v>
      </c>
      <c r="H175" s="25">
        <v>0</v>
      </c>
      <c r="I175" s="23">
        <v>-29.38</v>
      </c>
      <c r="J175" s="25">
        <v>508</v>
      </c>
      <c r="L175" t="s">
        <v>71</v>
      </c>
      <c r="P175" t="s">
        <v>24</v>
      </c>
      <c r="Q175" s="29">
        <v>45973.796665601847</v>
      </c>
    </row>
    <row r="176" spans="1:17" x14ac:dyDescent="0.25">
      <c r="A176" s="29">
        <v>45971.511196273153</v>
      </c>
      <c r="B176" t="s">
        <v>25</v>
      </c>
      <c r="E176" t="s">
        <v>21</v>
      </c>
      <c r="F176" t="s">
        <v>153</v>
      </c>
      <c r="H176" s="25">
        <v>0</v>
      </c>
      <c r="I176" s="23">
        <v>282.5</v>
      </c>
      <c r="J176" s="25">
        <v>508</v>
      </c>
      <c r="L176" t="s">
        <v>71</v>
      </c>
      <c r="P176" t="s">
        <v>24</v>
      </c>
      <c r="Q176" s="29">
        <v>45973.796665601847</v>
      </c>
    </row>
    <row r="177" spans="1:17" x14ac:dyDescent="0.25">
      <c r="A177" s="29">
        <v>45971.511196273153</v>
      </c>
      <c r="B177" t="s">
        <v>73</v>
      </c>
      <c r="E177" t="s">
        <v>21</v>
      </c>
      <c r="F177" t="s">
        <v>154</v>
      </c>
      <c r="H177" s="25">
        <v>0</v>
      </c>
      <c r="I177" s="23">
        <v>333.35</v>
      </c>
      <c r="J177" s="25">
        <v>508</v>
      </c>
      <c r="L177" t="s">
        <v>71</v>
      </c>
      <c r="P177" t="s">
        <v>24</v>
      </c>
      <c r="Q177" s="29">
        <v>45973.796665601847</v>
      </c>
    </row>
    <row r="178" spans="1:17" x14ac:dyDescent="0.25">
      <c r="A178" s="29">
        <v>45971.55685572917</v>
      </c>
      <c r="B178" t="s">
        <v>33</v>
      </c>
      <c r="E178" t="s">
        <v>21</v>
      </c>
      <c r="F178" t="s">
        <v>76</v>
      </c>
      <c r="H178" s="25">
        <v>0</v>
      </c>
      <c r="I178" s="23">
        <v>-3</v>
      </c>
      <c r="J178" s="25">
        <v>508</v>
      </c>
      <c r="L178" t="s">
        <v>71</v>
      </c>
      <c r="P178" t="s">
        <v>24</v>
      </c>
      <c r="Q178" s="29">
        <v>45973.796665601847</v>
      </c>
    </row>
    <row r="179" spans="1:17" x14ac:dyDescent="0.25">
      <c r="A179" s="29">
        <v>45971.55685572917</v>
      </c>
      <c r="B179" t="s">
        <v>33</v>
      </c>
      <c r="E179" t="s">
        <v>21</v>
      </c>
      <c r="F179" t="s">
        <v>76</v>
      </c>
      <c r="H179" s="25">
        <v>0</v>
      </c>
      <c r="I179" s="23">
        <v>-3</v>
      </c>
      <c r="J179" s="25">
        <v>508</v>
      </c>
      <c r="L179" t="s">
        <v>71</v>
      </c>
      <c r="P179" t="s">
        <v>24</v>
      </c>
      <c r="Q179" s="29">
        <v>45973.796665601847</v>
      </c>
    </row>
    <row r="180" spans="1:17" x14ac:dyDescent="0.25">
      <c r="A180" s="29">
        <v>45971.55685572917</v>
      </c>
      <c r="B180" t="s">
        <v>33</v>
      </c>
      <c r="E180" t="s">
        <v>21</v>
      </c>
      <c r="F180" t="s">
        <v>76</v>
      </c>
      <c r="H180" s="25">
        <v>0</v>
      </c>
      <c r="I180" s="23">
        <v>-3</v>
      </c>
      <c r="J180" s="25">
        <v>508</v>
      </c>
      <c r="L180" t="s">
        <v>71</v>
      </c>
      <c r="P180" t="s">
        <v>24</v>
      </c>
      <c r="Q180" s="29">
        <v>45973.796665601847</v>
      </c>
    </row>
    <row r="181" spans="1:17" x14ac:dyDescent="0.25">
      <c r="A181" s="29">
        <v>45971.55685572917</v>
      </c>
      <c r="B181" t="s">
        <v>33</v>
      </c>
      <c r="E181" t="s">
        <v>21</v>
      </c>
      <c r="F181" t="s">
        <v>76</v>
      </c>
      <c r="H181" s="25">
        <v>0</v>
      </c>
      <c r="I181" s="23">
        <v>-0.75</v>
      </c>
      <c r="J181" s="25">
        <v>508</v>
      </c>
      <c r="L181" t="s">
        <v>71</v>
      </c>
      <c r="P181" t="s">
        <v>24</v>
      </c>
      <c r="Q181" s="29">
        <v>45973.796665601847</v>
      </c>
    </row>
    <row r="182" spans="1:17" x14ac:dyDescent="0.25">
      <c r="A182" s="29">
        <v>45971.55685572917</v>
      </c>
      <c r="B182" t="s">
        <v>33</v>
      </c>
      <c r="E182" t="s">
        <v>21</v>
      </c>
      <c r="F182" t="s">
        <v>76</v>
      </c>
      <c r="H182" s="25">
        <v>0</v>
      </c>
      <c r="I182" s="23">
        <v>-3</v>
      </c>
      <c r="J182" s="25">
        <v>508</v>
      </c>
      <c r="L182" t="s">
        <v>71</v>
      </c>
      <c r="P182" t="s">
        <v>24</v>
      </c>
      <c r="Q182" s="29">
        <v>45973.796665601847</v>
      </c>
    </row>
    <row r="183" spans="1:17" x14ac:dyDescent="0.25">
      <c r="A183" s="29">
        <v>45971.55685572917</v>
      </c>
      <c r="B183" t="s">
        <v>33</v>
      </c>
      <c r="E183" t="s">
        <v>21</v>
      </c>
      <c r="F183" t="s">
        <v>76</v>
      </c>
      <c r="H183" s="25">
        <v>0</v>
      </c>
      <c r="I183" s="23">
        <v>-3</v>
      </c>
      <c r="J183" s="25">
        <v>508</v>
      </c>
      <c r="L183" t="s">
        <v>71</v>
      </c>
      <c r="P183" t="s">
        <v>24</v>
      </c>
      <c r="Q183" s="29">
        <v>45973.796665601847</v>
      </c>
    </row>
    <row r="184" spans="1:17" x14ac:dyDescent="0.25">
      <c r="A184" s="29">
        <v>45971.55685572917</v>
      </c>
      <c r="B184" t="s">
        <v>33</v>
      </c>
      <c r="E184" t="s">
        <v>21</v>
      </c>
      <c r="F184" t="s">
        <v>76</v>
      </c>
      <c r="H184" s="25">
        <v>0</v>
      </c>
      <c r="I184" s="23">
        <v>-3</v>
      </c>
      <c r="J184" s="25">
        <v>508</v>
      </c>
      <c r="L184" t="s">
        <v>71</v>
      </c>
      <c r="P184" t="s">
        <v>24</v>
      </c>
      <c r="Q184" s="29">
        <v>45973.796665601847</v>
      </c>
    </row>
    <row r="185" spans="1:17" x14ac:dyDescent="0.25">
      <c r="A185" s="29">
        <v>45971.55685572917</v>
      </c>
      <c r="B185" t="s">
        <v>33</v>
      </c>
      <c r="E185" t="s">
        <v>21</v>
      </c>
      <c r="F185" t="s">
        <v>76</v>
      </c>
      <c r="H185" s="25">
        <v>0</v>
      </c>
      <c r="I185" s="23">
        <v>-0.75</v>
      </c>
      <c r="J185" s="25">
        <v>508</v>
      </c>
      <c r="L185" t="s">
        <v>71</v>
      </c>
      <c r="P185" t="s">
        <v>24</v>
      </c>
      <c r="Q185" s="29">
        <v>45973.796665601847</v>
      </c>
    </row>
    <row r="186" spans="1:17" x14ac:dyDescent="0.25">
      <c r="A186" s="29">
        <v>45971.55685572917</v>
      </c>
      <c r="B186" t="s">
        <v>33</v>
      </c>
      <c r="E186" t="s">
        <v>21</v>
      </c>
      <c r="F186" t="s">
        <v>76</v>
      </c>
      <c r="H186" s="25">
        <v>0</v>
      </c>
      <c r="I186" s="23">
        <v>-0.75</v>
      </c>
      <c r="J186" s="25">
        <v>508</v>
      </c>
      <c r="L186" t="s">
        <v>71</v>
      </c>
      <c r="P186" t="s">
        <v>24</v>
      </c>
      <c r="Q186" s="29">
        <v>45973.796665601847</v>
      </c>
    </row>
    <row r="187" spans="1:17" x14ac:dyDescent="0.25">
      <c r="A187" s="29">
        <v>45971.55685572917</v>
      </c>
      <c r="B187" t="s">
        <v>25</v>
      </c>
      <c r="E187" t="s">
        <v>21</v>
      </c>
      <c r="F187" t="s">
        <v>76</v>
      </c>
      <c r="H187" s="25">
        <v>0</v>
      </c>
      <c r="I187" s="23">
        <v>0.75</v>
      </c>
      <c r="J187" s="25">
        <v>508</v>
      </c>
      <c r="L187" t="s">
        <v>71</v>
      </c>
      <c r="P187" t="s">
        <v>24</v>
      </c>
      <c r="Q187" s="29">
        <v>45973.796665601847</v>
      </c>
    </row>
    <row r="188" spans="1:17" x14ac:dyDescent="0.25">
      <c r="A188" s="29">
        <v>45971.55685572917</v>
      </c>
      <c r="B188" t="s">
        <v>33</v>
      </c>
      <c r="E188" t="s">
        <v>21</v>
      </c>
      <c r="F188" t="s">
        <v>76</v>
      </c>
      <c r="H188" s="25">
        <v>0</v>
      </c>
      <c r="I188" s="23">
        <v>-0.75</v>
      </c>
      <c r="J188" s="25">
        <v>508</v>
      </c>
      <c r="L188" t="s">
        <v>71</v>
      </c>
      <c r="P188" t="s">
        <v>24</v>
      </c>
      <c r="Q188" s="29">
        <v>45973.796665601847</v>
      </c>
    </row>
    <row r="189" spans="1:17" x14ac:dyDescent="0.25">
      <c r="A189" s="29">
        <v>45971.55685572917</v>
      </c>
      <c r="B189" t="s">
        <v>58</v>
      </c>
      <c r="E189" t="s">
        <v>21</v>
      </c>
      <c r="F189" t="s">
        <v>152</v>
      </c>
      <c r="H189" s="25">
        <v>0</v>
      </c>
      <c r="I189" s="23">
        <v>-58.76</v>
      </c>
      <c r="J189" s="25">
        <v>508</v>
      </c>
      <c r="L189" t="s">
        <v>71</v>
      </c>
      <c r="P189" t="s">
        <v>24</v>
      </c>
      <c r="Q189" s="29">
        <v>45973.796665601847</v>
      </c>
    </row>
    <row r="190" spans="1:17" x14ac:dyDescent="0.25">
      <c r="A190" s="29">
        <v>45971.55685572917</v>
      </c>
      <c r="B190" t="s">
        <v>33</v>
      </c>
      <c r="E190" t="s">
        <v>21</v>
      </c>
      <c r="F190" t="s">
        <v>121</v>
      </c>
      <c r="H190" s="25">
        <v>0</v>
      </c>
      <c r="I190" s="23">
        <v>-40.57</v>
      </c>
      <c r="J190" s="25">
        <v>508</v>
      </c>
      <c r="L190" t="s">
        <v>71</v>
      </c>
      <c r="P190" t="s">
        <v>24</v>
      </c>
      <c r="Q190" s="29">
        <v>45973.796665601847</v>
      </c>
    </row>
    <row r="191" spans="1:17" x14ac:dyDescent="0.25">
      <c r="A191" s="29">
        <v>45971.55685572917</v>
      </c>
      <c r="B191" t="s">
        <v>33</v>
      </c>
      <c r="E191" t="s">
        <v>21</v>
      </c>
      <c r="F191" t="s">
        <v>155</v>
      </c>
      <c r="H191" s="25">
        <v>0</v>
      </c>
      <c r="I191" s="23">
        <v>-9.1300000000000008</v>
      </c>
      <c r="J191" s="25">
        <v>508</v>
      </c>
      <c r="L191" t="s">
        <v>71</v>
      </c>
      <c r="P191" t="s">
        <v>24</v>
      </c>
      <c r="Q191" s="29">
        <v>45973.796665601847</v>
      </c>
    </row>
    <row r="192" spans="1:17" x14ac:dyDescent="0.25">
      <c r="A192" s="29">
        <v>45971.55685572917</v>
      </c>
      <c r="B192" t="s">
        <v>58</v>
      </c>
      <c r="E192" t="s">
        <v>123</v>
      </c>
      <c r="F192" t="s">
        <v>156</v>
      </c>
      <c r="H192" s="25">
        <v>0</v>
      </c>
      <c r="I192" s="23">
        <v>112.66</v>
      </c>
      <c r="J192" s="25">
        <v>508</v>
      </c>
      <c r="L192" t="s">
        <v>71</v>
      </c>
      <c r="P192" t="s">
        <v>24</v>
      </c>
      <c r="Q192" s="29">
        <v>45973.796665601847</v>
      </c>
    </row>
    <row r="193" spans="1:17" x14ac:dyDescent="0.25">
      <c r="A193" s="29">
        <v>45971.574005023147</v>
      </c>
      <c r="B193" t="s">
        <v>25</v>
      </c>
      <c r="E193" t="s">
        <v>21</v>
      </c>
      <c r="F193" t="s">
        <v>76</v>
      </c>
      <c r="H193" s="25">
        <v>0</v>
      </c>
      <c r="I193" s="23">
        <v>3121.51</v>
      </c>
      <c r="J193" s="25">
        <v>508</v>
      </c>
      <c r="L193" t="s">
        <v>71</v>
      </c>
      <c r="P193" t="s">
        <v>24</v>
      </c>
      <c r="Q193" s="29">
        <v>45973.796665601847</v>
      </c>
    </row>
    <row r="194" spans="1:17" x14ac:dyDescent="0.25">
      <c r="A194" s="29">
        <v>45971.574005023147</v>
      </c>
      <c r="B194" t="s">
        <v>33</v>
      </c>
      <c r="E194" t="s">
        <v>21</v>
      </c>
      <c r="F194" t="s">
        <v>76</v>
      </c>
      <c r="H194" s="25">
        <v>0</v>
      </c>
      <c r="I194" s="23">
        <v>-3</v>
      </c>
      <c r="J194" s="25">
        <v>508</v>
      </c>
      <c r="L194" t="s">
        <v>71</v>
      </c>
      <c r="P194" t="s">
        <v>24</v>
      </c>
      <c r="Q194" s="29">
        <v>45973.796665601847</v>
      </c>
    </row>
    <row r="195" spans="1:17" x14ac:dyDescent="0.25">
      <c r="A195" s="29">
        <v>45971.574005023147</v>
      </c>
      <c r="B195" t="s">
        <v>25</v>
      </c>
      <c r="E195" t="s">
        <v>21</v>
      </c>
      <c r="F195" t="s">
        <v>64</v>
      </c>
      <c r="H195" s="25">
        <v>0</v>
      </c>
      <c r="I195" s="23">
        <v>-500</v>
      </c>
      <c r="J195" s="25">
        <v>508</v>
      </c>
      <c r="L195" t="s">
        <v>71</v>
      </c>
      <c r="P195" t="s">
        <v>24</v>
      </c>
      <c r="Q195" s="29">
        <v>45973.796665601847</v>
      </c>
    </row>
    <row r="196" spans="1:17" x14ac:dyDescent="0.25">
      <c r="A196" s="29">
        <v>45971.574005023147</v>
      </c>
      <c r="B196" t="s">
        <v>33</v>
      </c>
      <c r="E196" t="s">
        <v>21</v>
      </c>
      <c r="F196" t="s">
        <v>76</v>
      </c>
      <c r="H196" s="25">
        <v>0</v>
      </c>
      <c r="I196" s="23">
        <v>-3</v>
      </c>
      <c r="J196" s="25">
        <v>508</v>
      </c>
      <c r="L196" t="s">
        <v>71</v>
      </c>
      <c r="P196" t="s">
        <v>24</v>
      </c>
      <c r="Q196" s="29">
        <v>45973.796665601847</v>
      </c>
    </row>
    <row r="197" spans="1:17" x14ac:dyDescent="0.25">
      <c r="A197" s="29">
        <v>45971.574005023147</v>
      </c>
      <c r="B197" t="s">
        <v>62</v>
      </c>
      <c r="E197" t="s">
        <v>21</v>
      </c>
      <c r="F197" t="s">
        <v>157</v>
      </c>
      <c r="H197" s="25">
        <v>0</v>
      </c>
      <c r="I197" s="23">
        <v>-305.5</v>
      </c>
      <c r="J197" s="25">
        <v>508</v>
      </c>
      <c r="L197" t="s">
        <v>71</v>
      </c>
      <c r="P197" t="s">
        <v>24</v>
      </c>
      <c r="Q197" s="29">
        <v>45973.796665601847</v>
      </c>
    </row>
    <row r="198" spans="1:17" x14ac:dyDescent="0.25">
      <c r="A198" s="29">
        <v>45971.574005023147</v>
      </c>
      <c r="B198" t="s">
        <v>33</v>
      </c>
      <c r="E198" t="s">
        <v>21</v>
      </c>
      <c r="F198" t="s">
        <v>76</v>
      </c>
      <c r="H198" s="25">
        <v>0</v>
      </c>
      <c r="I198" s="23">
        <v>-3</v>
      </c>
      <c r="J198" s="25">
        <v>508</v>
      </c>
      <c r="L198" t="s">
        <v>71</v>
      </c>
      <c r="P198" t="s">
        <v>24</v>
      </c>
      <c r="Q198" s="29">
        <v>45973.796665601847</v>
      </c>
    </row>
    <row r="199" spans="1:17" x14ac:dyDescent="0.25">
      <c r="A199" s="29">
        <v>45971.574005023147</v>
      </c>
      <c r="B199" t="s">
        <v>62</v>
      </c>
      <c r="E199" t="s">
        <v>21</v>
      </c>
      <c r="F199" t="s">
        <v>157</v>
      </c>
      <c r="H199" s="25">
        <v>0</v>
      </c>
      <c r="I199" s="23">
        <v>-101.83</v>
      </c>
      <c r="J199" s="25">
        <v>508</v>
      </c>
      <c r="L199" t="s">
        <v>71</v>
      </c>
      <c r="P199" t="s">
        <v>24</v>
      </c>
      <c r="Q199" s="29">
        <v>45973.796665601847</v>
      </c>
    </row>
    <row r="200" spans="1:17" x14ac:dyDescent="0.25">
      <c r="A200" s="29">
        <v>45971.574005023147</v>
      </c>
      <c r="B200" t="s">
        <v>33</v>
      </c>
      <c r="E200" t="s">
        <v>21</v>
      </c>
      <c r="F200" t="s">
        <v>76</v>
      </c>
      <c r="H200" s="25">
        <v>0</v>
      </c>
      <c r="I200" s="23">
        <v>-3</v>
      </c>
      <c r="J200" s="25">
        <v>508</v>
      </c>
      <c r="L200" t="s">
        <v>71</v>
      </c>
      <c r="P200" t="s">
        <v>24</v>
      </c>
      <c r="Q200" s="29">
        <v>45973.796665601847</v>
      </c>
    </row>
    <row r="201" spans="1:17" x14ac:dyDescent="0.25">
      <c r="A201" s="29">
        <v>45971.574005023147</v>
      </c>
      <c r="B201" t="s">
        <v>33</v>
      </c>
      <c r="E201" t="s">
        <v>21</v>
      </c>
      <c r="F201" t="s">
        <v>158</v>
      </c>
      <c r="H201" s="25">
        <v>0</v>
      </c>
      <c r="I201" s="23">
        <v>-101.83</v>
      </c>
      <c r="J201" s="25">
        <v>508</v>
      </c>
      <c r="L201" t="s">
        <v>71</v>
      </c>
      <c r="P201" t="s">
        <v>24</v>
      </c>
      <c r="Q201" s="29">
        <v>45973.796665601847</v>
      </c>
    </row>
    <row r="202" spans="1:17" x14ac:dyDescent="0.25">
      <c r="A202" s="29">
        <v>45971.574005034723</v>
      </c>
      <c r="B202" t="s">
        <v>33</v>
      </c>
      <c r="E202" t="s">
        <v>21</v>
      </c>
      <c r="F202" t="s">
        <v>76</v>
      </c>
      <c r="H202" s="25">
        <v>0</v>
      </c>
      <c r="I202" s="23">
        <v>-0.75</v>
      </c>
      <c r="J202" s="25">
        <v>508</v>
      </c>
      <c r="L202" t="s">
        <v>71</v>
      </c>
      <c r="P202" t="s">
        <v>24</v>
      </c>
      <c r="Q202" s="29">
        <v>45973.796665601847</v>
      </c>
    </row>
    <row r="203" spans="1:17" x14ac:dyDescent="0.25">
      <c r="A203" s="29">
        <v>45971.574005034723</v>
      </c>
      <c r="B203" t="s">
        <v>33</v>
      </c>
      <c r="E203" t="s">
        <v>21</v>
      </c>
      <c r="F203" t="s">
        <v>159</v>
      </c>
      <c r="H203" s="25">
        <v>0</v>
      </c>
      <c r="I203" s="23">
        <v>-800</v>
      </c>
      <c r="J203" s="25">
        <v>508</v>
      </c>
      <c r="L203" t="s">
        <v>71</v>
      </c>
      <c r="P203" t="s">
        <v>24</v>
      </c>
      <c r="Q203" s="29">
        <v>45973.796665601847</v>
      </c>
    </row>
    <row r="204" spans="1:17" x14ac:dyDescent="0.25">
      <c r="A204" s="29">
        <v>45971.574005034723</v>
      </c>
      <c r="B204" t="s">
        <v>33</v>
      </c>
      <c r="E204" t="s">
        <v>21</v>
      </c>
      <c r="F204" t="s">
        <v>85</v>
      </c>
      <c r="H204" s="25">
        <v>0</v>
      </c>
      <c r="I204" s="23">
        <v>-63.03</v>
      </c>
      <c r="J204" s="25">
        <v>508</v>
      </c>
      <c r="L204" t="s">
        <v>71</v>
      </c>
      <c r="P204" t="s">
        <v>24</v>
      </c>
      <c r="Q204" s="29">
        <v>45973.796665601847</v>
      </c>
    </row>
    <row r="205" spans="1:17" x14ac:dyDescent="0.25">
      <c r="A205" s="29">
        <v>45971.574005034723</v>
      </c>
      <c r="B205" t="s">
        <v>33</v>
      </c>
      <c r="E205" t="s">
        <v>128</v>
      </c>
      <c r="F205" t="s">
        <v>160</v>
      </c>
      <c r="H205" s="25">
        <v>0</v>
      </c>
      <c r="I205" s="23">
        <v>7.26</v>
      </c>
      <c r="J205" s="25">
        <v>508</v>
      </c>
      <c r="L205" t="s">
        <v>71</v>
      </c>
      <c r="P205" t="s">
        <v>24</v>
      </c>
      <c r="Q205" s="29">
        <v>45973.796665601847</v>
      </c>
    </row>
    <row r="206" spans="1:17" x14ac:dyDescent="0.25">
      <c r="A206" s="29"/>
      <c r="H206" s="25"/>
      <c r="I206" s="23"/>
      <c r="J206" s="25"/>
      <c r="Q206" s="29"/>
    </row>
  </sheetData>
  <dataValidations count="6">
    <dataValidation type="list" errorTitle="Tipo inválido" error="Selecciona un tipo válido de la lista" sqref="B2:B1000" xr:uid="{00000000-0002-0000-0000-000000000000}">
      <formula1>"INGRESO,GASTO OPERATIVO,GASTO PERSONAL,GASTO FINANCIERO,COMPRA PARA REVENTA,TRANSFERENCIA,PAGO TARJETA,PAGO PRESTAMO,AJUSTE"</formula1>
    </dataValidation>
    <dataValidation type="list" errorTitle="Categoría inválida" error="Selecciona una categoría válida de la lista" sqref="C2:C1000" xr:uid="{00000000-0002-0000-0000-000001000000}">
      <formula1>_xlfn._LONGTEXT("Ventas - Servicios Técnicos,Ventas - Hardware,Ventas - Software,Compras - Inventario,Salarios,Seguridad Social (CCSS),Alquiler,Servicios Públicos,Internet/Teléfono,Combustible,Mantenimiento,Papelería,Intereses - Tarjetas,Intereses - Préstamos,Intereses - ","Hacienda,IVA Cobrado,IVA Pagado,Transferencia entre cuentas,Otros")</formula1>
    </dataValidation>
    <dataValidation type="list" errorTitle="Cuenta inválida" error="Selecciona una cuenta válida de la lista" sqref="E2:E1000" xr:uid="{00000000-0002-0000-0000-000002000000}">
      <formula1>_xlfn._LONGTEXT("BNCR CRC Ahorros (***8618),BNCR USD Ahorros (***1066),BNCR CRC Corriente (***2186),BNCR USD Corriente (***9589),BNCR USD Corriente (***1112),Promerica CRC SINPE (***1708),Promerica USD Ahorros (***1691),Promerica CRC CC Corp (***4229),Promerica USD CC Cor","p (***1774),BNCR VISA ***3519 (Alvaro),BNCR VISA ***9837 (Alvaro),BNCR VISA ***6386 (Alejandra),BNCR MC ***8759 (Alvaro),BAC VISA ***9550 (Alvaro)")</formula1>
    </dataValidation>
    <dataValidation type="list" allowBlank="1" sqref="K2:K1000" xr:uid="{00000000-0002-0000-0000-000003000000}">
      <formula1>"Transferencia,Efectivo,Cheque,Tarjeta débito,Tarjeta crédito,SINPE Móvil,Depósito"</formula1>
    </dataValidation>
    <dataValidation type="list" sqref="L2:L1000" xr:uid="{00000000-0002-0000-0000-000004000000}">
      <formula1>"COMPLETADA,PENDIENTE,CANCELADA"</formula1>
    </dataValidation>
    <dataValidation type="list" allowBlank="1" sqref="M2:M1000" xr:uid="{00000000-0002-0000-0000-000005000000}">
      <formula1>"0,1,2,4,8,13"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"/>
  <sheetViews>
    <sheetView workbookViewId="0">
      <selection sqref="A1:I1"/>
    </sheetView>
  </sheetViews>
  <sheetFormatPr defaultRowHeight="15" x14ac:dyDescent="0.25"/>
  <cols>
    <col min="1" max="1" width="32" customWidth="1"/>
    <col min="2" max="2" width="20" customWidth="1"/>
    <col min="3" max="3" width="10" customWidth="1"/>
    <col min="4" max="4" width="8.7109375" bestFit="1" customWidth="1"/>
    <col min="5" max="5" width="13" customWidth="1"/>
    <col min="6" max="6" width="15.5703125" bestFit="1" customWidth="1"/>
    <col min="7" max="8" width="13" customWidth="1"/>
    <col min="9" max="9" width="15" customWidth="1"/>
  </cols>
  <sheetData>
    <row r="1" spans="1:9" ht="18.75" customHeight="1" x14ac:dyDescent="0.3">
      <c r="A1" s="62" t="s">
        <v>161</v>
      </c>
      <c r="B1" s="63"/>
      <c r="C1" s="63"/>
      <c r="D1" s="63"/>
      <c r="E1" s="63"/>
      <c r="F1" s="63"/>
      <c r="G1" s="63"/>
      <c r="H1" s="63"/>
      <c r="I1" s="63"/>
    </row>
    <row r="3" spans="1:9" ht="15.75" customHeight="1" x14ac:dyDescent="0.25">
      <c r="A3" s="65" t="s">
        <v>162</v>
      </c>
      <c r="B3" s="63"/>
      <c r="C3" s="63"/>
      <c r="D3" s="63"/>
      <c r="E3" s="63"/>
      <c r="F3" s="63"/>
      <c r="G3" s="63"/>
      <c r="H3" s="63"/>
      <c r="I3" s="63"/>
    </row>
    <row r="4" spans="1:9" ht="30" customHeight="1" x14ac:dyDescent="0.25">
      <c r="A4" s="1" t="s">
        <v>163</v>
      </c>
      <c r="B4" s="1" t="s">
        <v>164</v>
      </c>
      <c r="C4" s="1" t="s">
        <v>1</v>
      </c>
      <c r="D4" s="1" t="s">
        <v>165</v>
      </c>
      <c r="E4" s="1" t="s">
        <v>166</v>
      </c>
      <c r="F4" s="1" t="s">
        <v>167</v>
      </c>
      <c r="G4" s="1" t="s">
        <v>168</v>
      </c>
      <c r="H4" s="1" t="s">
        <v>169</v>
      </c>
      <c r="I4" s="1" t="s">
        <v>170</v>
      </c>
    </row>
    <row r="5" spans="1:9" x14ac:dyDescent="0.25">
      <c r="A5" t="s">
        <v>171</v>
      </c>
      <c r="B5" t="s">
        <v>172</v>
      </c>
      <c r="C5" t="s">
        <v>173</v>
      </c>
      <c r="D5" t="s">
        <v>174</v>
      </c>
      <c r="E5" s="5">
        <v>211.24</v>
      </c>
      <c r="F5" s="6">
        <v>0</v>
      </c>
      <c r="G5" s="6">
        <v>0</v>
      </c>
      <c r="H5" s="26">
        <f t="shared" ref="H5:H13" si="0">E5+F5+G5</f>
        <v>211.24</v>
      </c>
      <c r="I5" t="s">
        <v>175</v>
      </c>
    </row>
    <row r="6" spans="1:9" x14ac:dyDescent="0.25">
      <c r="A6" t="s">
        <v>176</v>
      </c>
      <c r="B6" t="s">
        <v>177</v>
      </c>
      <c r="C6" t="s">
        <v>173</v>
      </c>
      <c r="D6" t="s">
        <v>178</v>
      </c>
      <c r="E6" s="7">
        <v>1087.3699999999999</v>
      </c>
      <c r="F6" s="6">
        <v>0</v>
      </c>
      <c r="G6" s="6">
        <v>0</v>
      </c>
      <c r="H6" s="12">
        <f t="shared" si="0"/>
        <v>1087.3699999999999</v>
      </c>
      <c r="I6" t="s">
        <v>175</v>
      </c>
    </row>
    <row r="7" spans="1:9" x14ac:dyDescent="0.25">
      <c r="A7" t="s">
        <v>179</v>
      </c>
      <c r="B7" t="s">
        <v>180</v>
      </c>
      <c r="C7" t="s">
        <v>173</v>
      </c>
      <c r="D7" t="s">
        <v>174</v>
      </c>
      <c r="E7" s="5">
        <v>28950.5</v>
      </c>
      <c r="F7" s="6">
        <v>0</v>
      </c>
      <c r="G7" s="6">
        <v>0</v>
      </c>
      <c r="H7" s="26">
        <f t="shared" si="0"/>
        <v>28950.5</v>
      </c>
      <c r="I7" t="s">
        <v>181</v>
      </c>
    </row>
    <row r="8" spans="1:9" x14ac:dyDescent="0.25">
      <c r="A8" t="s">
        <v>182</v>
      </c>
      <c r="B8" t="s">
        <v>183</v>
      </c>
      <c r="C8" t="s">
        <v>173</v>
      </c>
      <c r="D8" t="s">
        <v>178</v>
      </c>
      <c r="E8" s="7">
        <v>0.43</v>
      </c>
      <c r="F8" s="6">
        <v>0</v>
      </c>
      <c r="G8" s="6">
        <v>0</v>
      </c>
      <c r="H8" s="12">
        <f t="shared" si="0"/>
        <v>0.43</v>
      </c>
      <c r="I8" t="s">
        <v>184</v>
      </c>
    </row>
    <row r="9" spans="1:9" x14ac:dyDescent="0.25">
      <c r="A9" t="s">
        <v>185</v>
      </c>
      <c r="B9" t="s">
        <v>186</v>
      </c>
      <c r="C9" t="s">
        <v>173</v>
      </c>
      <c r="D9" t="s">
        <v>178</v>
      </c>
      <c r="E9" s="7">
        <v>21.84</v>
      </c>
      <c r="F9" s="6">
        <v>0</v>
      </c>
      <c r="G9" s="6">
        <v>0</v>
      </c>
      <c r="H9" s="12">
        <f t="shared" si="0"/>
        <v>21.84</v>
      </c>
      <c r="I9" t="s">
        <v>184</v>
      </c>
    </row>
    <row r="10" spans="1:9" x14ac:dyDescent="0.25">
      <c r="A10" t="s">
        <v>187</v>
      </c>
      <c r="B10" t="s">
        <v>188</v>
      </c>
      <c r="C10" t="s">
        <v>173</v>
      </c>
      <c r="D10" t="s">
        <v>174</v>
      </c>
      <c r="E10" s="5">
        <v>1090</v>
      </c>
      <c r="F10" s="6">
        <v>0</v>
      </c>
      <c r="G10" s="6">
        <v>0</v>
      </c>
      <c r="H10" s="26">
        <f t="shared" si="0"/>
        <v>1090</v>
      </c>
      <c r="I10" t="s">
        <v>175</v>
      </c>
    </row>
    <row r="11" spans="1:9" x14ac:dyDescent="0.25">
      <c r="A11" t="s">
        <v>189</v>
      </c>
      <c r="B11" t="s">
        <v>190</v>
      </c>
      <c r="C11" t="s">
        <v>173</v>
      </c>
      <c r="D11" t="s">
        <v>178</v>
      </c>
      <c r="E11" s="7">
        <v>0</v>
      </c>
      <c r="F11" s="6">
        <v>0</v>
      </c>
      <c r="G11" s="6">
        <v>0</v>
      </c>
      <c r="H11" s="12">
        <f t="shared" si="0"/>
        <v>0</v>
      </c>
      <c r="I11" t="s">
        <v>175</v>
      </c>
    </row>
    <row r="12" spans="1:9" x14ac:dyDescent="0.25">
      <c r="A12" t="s">
        <v>191</v>
      </c>
      <c r="B12" t="s">
        <v>192</v>
      </c>
      <c r="C12" t="s">
        <v>173</v>
      </c>
      <c r="D12" t="s">
        <v>174</v>
      </c>
      <c r="E12" s="5">
        <v>0</v>
      </c>
      <c r="F12" s="6">
        <v>0</v>
      </c>
      <c r="G12" s="6">
        <v>0</v>
      </c>
      <c r="H12" s="26">
        <f t="shared" si="0"/>
        <v>0</v>
      </c>
      <c r="I12" t="s">
        <v>175</v>
      </c>
    </row>
    <row r="13" spans="1:9" x14ac:dyDescent="0.25">
      <c r="A13" t="s">
        <v>193</v>
      </c>
      <c r="B13" t="s">
        <v>194</v>
      </c>
      <c r="C13" t="s">
        <v>173</v>
      </c>
      <c r="D13" t="s">
        <v>178</v>
      </c>
      <c r="E13" s="7">
        <v>2276.44</v>
      </c>
      <c r="F13" s="6">
        <v>0</v>
      </c>
      <c r="G13" s="6">
        <v>0</v>
      </c>
      <c r="H13" s="12">
        <f t="shared" si="0"/>
        <v>2276.44</v>
      </c>
      <c r="I13" t="s">
        <v>175</v>
      </c>
    </row>
    <row r="14" spans="1:9" x14ac:dyDescent="0.25">
      <c r="A14" s="8" t="s">
        <v>195</v>
      </c>
      <c r="E14" s="9">
        <f>SUMIF(D5:D13,"USD",E5:E13)+SUMIF(D5:D13,"CRC",E5:E13)/494</f>
        <v>3447.3183400809717</v>
      </c>
      <c r="F14" s="9">
        <f>SUM(F5:F13)</f>
        <v>0</v>
      </c>
      <c r="G14" s="9">
        <f>SUM(G5:G13)</f>
        <v>0</v>
      </c>
      <c r="H14" s="9">
        <f>SUM(H5:H13)</f>
        <v>33637.82</v>
      </c>
    </row>
    <row r="16" spans="1:9" ht="15.75" customHeight="1" x14ac:dyDescent="0.25">
      <c r="A16" s="66" t="s">
        <v>196</v>
      </c>
      <c r="B16" s="63"/>
      <c r="C16" s="63"/>
      <c r="D16" s="63"/>
      <c r="E16" s="63"/>
      <c r="F16" s="63"/>
      <c r="G16" s="63"/>
      <c r="H16" s="63"/>
      <c r="I16" s="63"/>
    </row>
    <row r="17" spans="1:9" ht="30" customHeight="1" x14ac:dyDescent="0.25">
      <c r="A17" s="1" t="s">
        <v>197</v>
      </c>
      <c r="B17" s="1" t="s">
        <v>198</v>
      </c>
      <c r="C17" s="1" t="s">
        <v>199</v>
      </c>
      <c r="D17" s="1" t="s">
        <v>200</v>
      </c>
      <c r="E17" s="1" t="s">
        <v>201</v>
      </c>
      <c r="F17" s="1" t="s">
        <v>202</v>
      </c>
      <c r="G17" s="1" t="s">
        <v>203</v>
      </c>
      <c r="H17" s="1" t="s">
        <v>169</v>
      </c>
      <c r="I17" s="1" t="s">
        <v>204</v>
      </c>
    </row>
    <row r="18" spans="1:9" x14ac:dyDescent="0.25">
      <c r="A18" t="s">
        <v>205</v>
      </c>
      <c r="B18" t="s">
        <v>206</v>
      </c>
      <c r="C18" s="7">
        <v>3864.9</v>
      </c>
      <c r="D18" s="11">
        <v>0</v>
      </c>
      <c r="E18" s="12">
        <f>C18+(D18/494)</f>
        <v>3864.9</v>
      </c>
      <c r="F18" s="12">
        <v>0</v>
      </c>
      <c r="G18" s="12">
        <v>0</v>
      </c>
      <c r="H18" s="13">
        <f>E18+F18+G18</f>
        <v>3864.9</v>
      </c>
      <c r="I18" s="14" t="s">
        <v>207</v>
      </c>
    </row>
    <row r="19" spans="1:9" x14ac:dyDescent="0.25">
      <c r="A19" t="s">
        <v>208</v>
      </c>
      <c r="B19" t="s">
        <v>206</v>
      </c>
      <c r="C19" s="7">
        <v>3299.01</v>
      </c>
      <c r="D19" s="11">
        <v>0</v>
      </c>
      <c r="E19" s="12">
        <f>C19+(D19/494)</f>
        <v>3299.01</v>
      </c>
      <c r="F19" s="12">
        <v>0</v>
      </c>
      <c r="G19" s="12">
        <v>0</v>
      </c>
      <c r="H19" s="13">
        <f>E19+F19+G19</f>
        <v>3299.01</v>
      </c>
      <c r="I19" s="14" t="s">
        <v>209</v>
      </c>
    </row>
    <row r="20" spans="1:9" x14ac:dyDescent="0.25">
      <c r="A20" t="s">
        <v>210</v>
      </c>
      <c r="B20" t="s">
        <v>211</v>
      </c>
      <c r="C20" s="7">
        <v>5195.07</v>
      </c>
      <c r="D20" s="11">
        <v>0</v>
      </c>
      <c r="E20" s="12">
        <f>C20+(D20/494)</f>
        <v>5195.07</v>
      </c>
      <c r="F20" s="12">
        <v>0</v>
      </c>
      <c r="G20" s="12">
        <v>0</v>
      </c>
      <c r="H20" s="13">
        <f>E20+F20+G20</f>
        <v>5195.07</v>
      </c>
      <c r="I20" s="14" t="s">
        <v>209</v>
      </c>
    </row>
    <row r="21" spans="1:9" x14ac:dyDescent="0.25">
      <c r="A21" t="s">
        <v>212</v>
      </c>
      <c r="B21" t="s">
        <v>206</v>
      </c>
      <c r="C21" s="7">
        <v>0</v>
      </c>
      <c r="D21" s="11">
        <v>863830</v>
      </c>
      <c r="E21" s="12">
        <f>C21+(D21/494)</f>
        <v>1748.6437246963562</v>
      </c>
      <c r="F21" s="12">
        <v>0</v>
      </c>
      <c r="G21" s="12">
        <v>0</v>
      </c>
      <c r="H21" s="13">
        <f>E21+F21+G21</f>
        <v>1748.6437246963562</v>
      </c>
      <c r="I21" s="14" t="s">
        <v>209</v>
      </c>
    </row>
    <row r="22" spans="1:9" x14ac:dyDescent="0.25">
      <c r="A22" t="s">
        <v>213</v>
      </c>
      <c r="B22" t="s">
        <v>206</v>
      </c>
      <c r="C22" s="7">
        <v>2508.75</v>
      </c>
      <c r="D22" s="11">
        <v>0</v>
      </c>
      <c r="E22" s="12">
        <f>C22+(D22/494)</f>
        <v>2508.75</v>
      </c>
      <c r="F22" s="12">
        <v>0</v>
      </c>
      <c r="G22" s="12">
        <v>0</v>
      </c>
      <c r="H22" s="13">
        <f>E22+F22+G22</f>
        <v>2508.75</v>
      </c>
      <c r="I22" s="14" t="s">
        <v>209</v>
      </c>
    </row>
    <row r="23" spans="1:9" x14ac:dyDescent="0.25">
      <c r="A23" s="15" t="s">
        <v>214</v>
      </c>
      <c r="C23" s="16">
        <f t="shared" ref="C23:H23" si="1">SUM(C18:C22)</f>
        <v>14867.73</v>
      </c>
      <c r="D23" s="17">
        <f t="shared" si="1"/>
        <v>863830</v>
      </c>
      <c r="E23" s="16">
        <f t="shared" si="1"/>
        <v>16616.373724696357</v>
      </c>
      <c r="F23" s="16">
        <f t="shared" si="1"/>
        <v>0</v>
      </c>
      <c r="G23" s="16">
        <f t="shared" si="1"/>
        <v>0</v>
      </c>
      <c r="H23" s="16">
        <f t="shared" si="1"/>
        <v>16616.373724696357</v>
      </c>
    </row>
    <row r="25" spans="1:9" ht="21" customHeight="1" x14ac:dyDescent="0.35">
      <c r="A25" s="64" t="s">
        <v>215</v>
      </c>
      <c r="B25" s="63"/>
      <c r="C25" s="63"/>
      <c r="D25" s="63"/>
      <c r="E25" s="63"/>
      <c r="F25" s="18">
        <f>H14-H23</f>
        <v>17021.446275303642</v>
      </c>
    </row>
    <row r="27" spans="1:9" x14ac:dyDescent="0.25">
      <c r="A27" s="8" t="s">
        <v>216</v>
      </c>
    </row>
    <row r="28" spans="1:9" x14ac:dyDescent="0.25">
      <c r="A28" s="14" t="s">
        <v>217</v>
      </c>
    </row>
    <row r="29" spans="1:9" x14ac:dyDescent="0.25">
      <c r="A29" s="14" t="s">
        <v>218</v>
      </c>
    </row>
    <row r="30" spans="1:9" x14ac:dyDescent="0.25">
      <c r="A30" s="14" t="s">
        <v>219</v>
      </c>
    </row>
    <row r="31" spans="1:9" x14ac:dyDescent="0.25">
      <c r="A31" s="19" t="s">
        <v>220</v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workbookViewId="0"/>
  </sheetViews>
  <sheetFormatPr defaultRowHeight="15" x14ac:dyDescent="0.25"/>
  <cols>
    <col min="1" max="1" width="25" customWidth="1"/>
    <col min="2" max="2" width="15" customWidth="1"/>
    <col min="3" max="4" width="18" customWidth="1"/>
    <col min="5" max="5" width="20" customWidth="1"/>
    <col min="6" max="6" width="15" customWidth="1"/>
  </cols>
  <sheetData>
    <row r="1" spans="1:6" ht="18.75" x14ac:dyDescent="0.3">
      <c r="A1" s="32" t="s">
        <v>221</v>
      </c>
    </row>
    <row r="2" spans="1:6" ht="21" customHeight="1" x14ac:dyDescent="0.35">
      <c r="B2" s="67" t="s">
        <v>222</v>
      </c>
      <c r="C2" s="63"/>
      <c r="D2" s="63"/>
      <c r="E2" s="63"/>
      <c r="F2" s="63"/>
    </row>
    <row r="3" spans="1:6" ht="15.75" x14ac:dyDescent="0.25">
      <c r="A3" s="49" t="s">
        <v>223</v>
      </c>
      <c r="C3" s="20"/>
    </row>
    <row r="4" spans="1:6" x14ac:dyDescent="0.25">
      <c r="A4" t="s">
        <v>224</v>
      </c>
      <c r="B4" s="23">
        <v>33637.82</v>
      </c>
    </row>
    <row r="5" spans="1:6" ht="15.75" customHeight="1" x14ac:dyDescent="0.25">
      <c r="A5" t="s">
        <v>225</v>
      </c>
      <c r="B5" s="50">
        <v>0</v>
      </c>
      <c r="E5" s="10"/>
    </row>
    <row r="6" spans="1:6" ht="18.75" customHeight="1" x14ac:dyDescent="0.3">
      <c r="A6" t="s">
        <v>226</v>
      </c>
      <c r="B6" s="51">
        <v>33637.82</v>
      </c>
      <c r="C6" s="30"/>
      <c r="F6" s="21">
        <f>COUNTIF(TRANSACCIONES!S:S, "⚠️ POSIBLE DUPLICADO")</f>
        <v>0</v>
      </c>
    </row>
    <row r="7" spans="1:6" x14ac:dyDescent="0.25">
      <c r="F7" s="22">
        <f>COUNTIF(TRANSACCIONES!L:L, "PENDIENTE")</f>
        <v>65</v>
      </c>
    </row>
    <row r="8" spans="1:6" ht="15.75" customHeight="1" x14ac:dyDescent="0.25">
      <c r="A8" s="52" t="s">
        <v>227</v>
      </c>
      <c r="B8" s="4"/>
      <c r="F8" s="8">
        <f>COUNTBLANK(TRANSACCIONES!C:C) - 1</f>
        <v>1048574</v>
      </c>
    </row>
    <row r="9" spans="1:6" x14ac:dyDescent="0.25">
      <c r="A9" t="s">
        <v>167</v>
      </c>
      <c r="B9" s="53">
        <v>100018091.20999999</v>
      </c>
      <c r="C9" s="23"/>
    </row>
    <row r="10" spans="1:6" ht="18.75" customHeight="1" x14ac:dyDescent="0.3">
      <c r="A10" t="s">
        <v>228</v>
      </c>
      <c r="B10" s="54">
        <v>-43785.185026178013</v>
      </c>
      <c r="C10" s="30"/>
      <c r="D10" s="24"/>
    </row>
    <row r="11" spans="1:6" x14ac:dyDescent="0.25">
      <c r="A11" t="s">
        <v>226</v>
      </c>
      <c r="B11" s="36">
        <v>99974306.02497381</v>
      </c>
    </row>
    <row r="12" spans="1:6" ht="15.75" customHeight="1" x14ac:dyDescent="0.25">
      <c r="B12" s="4"/>
    </row>
    <row r="13" spans="1:6" ht="15.75" x14ac:dyDescent="0.25">
      <c r="A13" s="55" t="s">
        <v>229</v>
      </c>
      <c r="B13" s="56"/>
      <c r="C13" s="57"/>
    </row>
    <row r="14" spans="1:6" x14ac:dyDescent="0.25">
      <c r="A14" t="s">
        <v>230</v>
      </c>
      <c r="B14" s="23">
        <v>9668.1999999999989</v>
      </c>
      <c r="C14" s="23"/>
    </row>
    <row r="15" spans="1:6" x14ac:dyDescent="0.25">
      <c r="A15" t="s">
        <v>231</v>
      </c>
      <c r="B15" s="58">
        <v>0</v>
      </c>
      <c r="C15" s="23"/>
    </row>
    <row r="16" spans="1:6" x14ac:dyDescent="0.25">
      <c r="A16" t="s">
        <v>232</v>
      </c>
      <c r="B16" s="50">
        <v>-18451.86</v>
      </c>
      <c r="C16" s="23"/>
    </row>
    <row r="17" spans="1:3" x14ac:dyDescent="0.25">
      <c r="A17" t="s">
        <v>233</v>
      </c>
      <c r="B17" s="54">
        <v>-1717.53</v>
      </c>
      <c r="C17" s="23"/>
    </row>
    <row r="18" spans="1:3" x14ac:dyDescent="0.25">
      <c r="C18" s="23"/>
    </row>
    <row r="19" spans="1:3" ht="15.75" x14ac:dyDescent="0.25">
      <c r="A19" s="59" t="s">
        <v>234</v>
      </c>
    </row>
    <row r="20" spans="1:3" x14ac:dyDescent="0.25">
      <c r="A20" t="s">
        <v>235</v>
      </c>
      <c r="B20" s="23">
        <v>900.44890000000009</v>
      </c>
    </row>
    <row r="21" spans="1:3" x14ac:dyDescent="0.25">
      <c r="A21" t="s">
        <v>236</v>
      </c>
      <c r="B21" s="23">
        <v>-1198.4435398230089</v>
      </c>
    </row>
    <row r="22" spans="1:3" x14ac:dyDescent="0.25">
      <c r="A22" t="s">
        <v>237</v>
      </c>
      <c r="B22" s="51">
        <v>-297.99463982300881</v>
      </c>
    </row>
    <row r="24" spans="1:3" ht="15.75" x14ac:dyDescent="0.25">
      <c r="A24" s="60" t="s">
        <v>238</v>
      </c>
    </row>
    <row r="25" spans="1:3" ht="18.75" x14ac:dyDescent="0.3">
      <c r="A25" t="s">
        <v>239</v>
      </c>
      <c r="B25" s="61">
        <v>23.047398324265728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6"/>
  <sheetViews>
    <sheetView workbookViewId="0">
      <pane xSplit="1" ySplit="4" topLeftCell="B5" activePane="bottomRight" state="frozen"/>
      <selection pane="topRight"/>
      <selection pane="bottomLeft"/>
      <selection pane="bottomRight" sqref="A1:J1"/>
    </sheetView>
  </sheetViews>
  <sheetFormatPr defaultRowHeight="15" x14ac:dyDescent="0.25"/>
  <cols>
    <col min="1" max="1" width="12" customWidth="1"/>
    <col min="2" max="2" width="35" customWidth="1"/>
    <col min="3" max="7" width="25" customWidth="1"/>
    <col min="8" max="8" width="15" customWidth="1"/>
    <col min="9" max="9" width="30" customWidth="1"/>
    <col min="10" max="10" width="15" customWidth="1"/>
  </cols>
  <sheetData>
    <row r="1" spans="1:10" ht="18.75" customHeight="1" x14ac:dyDescent="0.3">
      <c r="A1" s="62" t="s">
        <v>240</v>
      </c>
      <c r="B1" s="63"/>
      <c r="C1" s="63"/>
      <c r="D1" s="63"/>
      <c r="E1" s="63"/>
      <c r="F1" s="63"/>
      <c r="G1" s="63"/>
      <c r="H1" s="63"/>
      <c r="I1" s="63"/>
      <c r="J1" s="63"/>
    </row>
    <row r="2" spans="1:10" x14ac:dyDescent="0.25">
      <c r="A2" s="68" t="s">
        <v>241</v>
      </c>
      <c r="B2" s="63"/>
      <c r="C2" s="63"/>
      <c r="D2" s="63"/>
      <c r="E2" s="63"/>
      <c r="F2" s="63"/>
      <c r="G2" s="63"/>
      <c r="H2" s="63"/>
      <c r="I2" s="63"/>
      <c r="J2" s="63"/>
    </row>
    <row r="4" spans="1:10" ht="30" customHeight="1" x14ac:dyDescent="0.25">
      <c r="A4" s="1" t="s">
        <v>1</v>
      </c>
      <c r="B4" s="1" t="s">
        <v>242</v>
      </c>
      <c r="C4" s="1" t="s">
        <v>243</v>
      </c>
      <c r="D4" s="1" t="s">
        <v>244</v>
      </c>
      <c r="E4" s="1" t="s">
        <v>245</v>
      </c>
      <c r="F4" s="1" t="s">
        <v>246</v>
      </c>
      <c r="G4" s="1" t="s">
        <v>247</v>
      </c>
      <c r="H4" s="1" t="s">
        <v>2</v>
      </c>
      <c r="I4" s="1" t="s">
        <v>14</v>
      </c>
      <c r="J4" s="1" t="s">
        <v>248</v>
      </c>
    </row>
    <row r="5" spans="1:10" x14ac:dyDescent="0.25">
      <c r="A5" t="s">
        <v>249</v>
      </c>
      <c r="B5" t="s">
        <v>250</v>
      </c>
      <c r="C5" s="2" t="s">
        <v>251</v>
      </c>
      <c r="D5" s="2" t="s">
        <v>252</v>
      </c>
      <c r="E5" s="2"/>
      <c r="F5" s="2"/>
      <c r="G5" s="2"/>
      <c r="H5" t="s">
        <v>253</v>
      </c>
      <c r="I5" t="s">
        <v>254</v>
      </c>
      <c r="J5" t="s">
        <v>255</v>
      </c>
    </row>
    <row r="6" spans="1:10" x14ac:dyDescent="0.25">
      <c r="A6" t="s">
        <v>249</v>
      </c>
      <c r="B6" t="s">
        <v>256</v>
      </c>
      <c r="C6" s="2" t="s">
        <v>257</v>
      </c>
      <c r="D6" s="2" t="s">
        <v>258</v>
      </c>
      <c r="E6" s="2"/>
      <c r="F6" s="2"/>
      <c r="G6" s="2"/>
      <c r="H6" t="s">
        <v>253</v>
      </c>
      <c r="I6" t="s">
        <v>259</v>
      </c>
      <c r="J6" t="s">
        <v>255</v>
      </c>
    </row>
    <row r="7" spans="1:10" x14ac:dyDescent="0.25">
      <c r="A7" t="s">
        <v>249</v>
      </c>
      <c r="B7" t="s">
        <v>260</v>
      </c>
      <c r="C7" s="2"/>
      <c r="D7" s="2" t="s">
        <v>261</v>
      </c>
      <c r="E7" s="2"/>
      <c r="F7" s="2"/>
      <c r="G7" s="2"/>
      <c r="H7" t="s">
        <v>253</v>
      </c>
      <c r="I7" t="s">
        <v>262</v>
      </c>
      <c r="J7" t="s">
        <v>255</v>
      </c>
    </row>
    <row r="8" spans="1:10" x14ac:dyDescent="0.25">
      <c r="A8" t="s">
        <v>249</v>
      </c>
      <c r="B8" t="s">
        <v>263</v>
      </c>
      <c r="C8" s="2"/>
      <c r="D8" s="2"/>
      <c r="E8" s="2"/>
      <c r="F8" s="2"/>
      <c r="G8" s="2"/>
      <c r="H8" t="s">
        <v>264</v>
      </c>
      <c r="I8" t="s">
        <v>265</v>
      </c>
      <c r="J8" t="s">
        <v>255</v>
      </c>
    </row>
    <row r="9" spans="1:10" x14ac:dyDescent="0.25">
      <c r="A9" t="s">
        <v>249</v>
      </c>
      <c r="B9" t="s">
        <v>266</v>
      </c>
      <c r="C9" s="2" t="s">
        <v>267</v>
      </c>
      <c r="D9" s="2"/>
      <c r="E9" s="2"/>
      <c r="F9" s="2"/>
      <c r="G9" s="2"/>
      <c r="H9" t="s">
        <v>264</v>
      </c>
      <c r="I9" t="s">
        <v>268</v>
      </c>
      <c r="J9" t="s">
        <v>255</v>
      </c>
    </row>
    <row r="10" spans="1:10" x14ac:dyDescent="0.25">
      <c r="A10" t="s">
        <v>249</v>
      </c>
      <c r="B10" t="s">
        <v>269</v>
      </c>
      <c r="C10" s="2"/>
      <c r="D10" s="2" t="s">
        <v>270</v>
      </c>
      <c r="E10" s="2"/>
      <c r="F10" s="2"/>
      <c r="G10" s="2"/>
      <c r="H10" t="s">
        <v>264</v>
      </c>
      <c r="I10" t="s">
        <v>271</v>
      </c>
      <c r="J10" t="s">
        <v>255</v>
      </c>
    </row>
    <row r="11" spans="1:10" x14ac:dyDescent="0.25">
      <c r="A11" t="s">
        <v>249</v>
      </c>
      <c r="B11" t="s">
        <v>272</v>
      </c>
      <c r="C11" s="2"/>
      <c r="D11" s="2" t="s">
        <v>273</v>
      </c>
      <c r="E11" s="2"/>
      <c r="F11" s="2"/>
      <c r="G11" s="2"/>
      <c r="H11" t="s">
        <v>264</v>
      </c>
      <c r="I11" t="s">
        <v>274</v>
      </c>
      <c r="J11" t="s">
        <v>255</v>
      </c>
    </row>
    <row r="12" spans="1:10" x14ac:dyDescent="0.25">
      <c r="A12" t="s">
        <v>249</v>
      </c>
      <c r="B12" t="s">
        <v>275</v>
      </c>
      <c r="C12" s="2" t="s">
        <v>276</v>
      </c>
      <c r="D12" s="2" t="s">
        <v>277</v>
      </c>
      <c r="E12" s="2"/>
      <c r="F12" s="2"/>
      <c r="G12" s="2"/>
      <c r="H12" t="s">
        <v>264</v>
      </c>
      <c r="I12" t="s">
        <v>278</v>
      </c>
      <c r="J12" t="s">
        <v>255</v>
      </c>
    </row>
    <row r="13" spans="1:10" x14ac:dyDescent="0.25">
      <c r="A13" t="s">
        <v>249</v>
      </c>
      <c r="B13" t="s">
        <v>279</v>
      </c>
      <c r="C13" s="2"/>
      <c r="D13" s="2"/>
      <c r="E13" s="2"/>
      <c r="F13" s="2"/>
      <c r="G13" s="2"/>
      <c r="H13" t="s">
        <v>264</v>
      </c>
      <c r="I13" t="s">
        <v>280</v>
      </c>
      <c r="J13" t="s">
        <v>255</v>
      </c>
    </row>
    <row r="14" spans="1:10" x14ac:dyDescent="0.25">
      <c r="A14" t="s">
        <v>249</v>
      </c>
      <c r="B14" t="s">
        <v>281</v>
      </c>
      <c r="C14" s="2"/>
      <c r="D14" s="2"/>
      <c r="E14" s="2"/>
      <c r="F14" s="2"/>
      <c r="G14" s="2"/>
      <c r="H14" t="s">
        <v>264</v>
      </c>
      <c r="I14" t="s">
        <v>282</v>
      </c>
      <c r="J14" t="s">
        <v>255</v>
      </c>
    </row>
    <row r="15" spans="1:10" x14ac:dyDescent="0.25">
      <c r="A15" t="s">
        <v>249</v>
      </c>
      <c r="B15" t="s">
        <v>283</v>
      </c>
      <c r="C15" s="2"/>
      <c r="D15" s="2" t="s">
        <v>284</v>
      </c>
      <c r="E15" s="2"/>
      <c r="F15" s="2"/>
      <c r="G15" s="2"/>
      <c r="H15" t="s">
        <v>264</v>
      </c>
      <c r="I15" t="s">
        <v>285</v>
      </c>
      <c r="J15" t="s">
        <v>255</v>
      </c>
    </row>
    <row r="16" spans="1:10" x14ac:dyDescent="0.25">
      <c r="A16" t="s">
        <v>249</v>
      </c>
      <c r="B16" t="s">
        <v>286</v>
      </c>
      <c r="C16" s="2"/>
      <c r="D16" s="2" t="s">
        <v>287</v>
      </c>
      <c r="E16" s="2"/>
      <c r="F16" s="2"/>
      <c r="G16" s="2"/>
      <c r="H16" t="s">
        <v>264</v>
      </c>
      <c r="I16" t="s">
        <v>288</v>
      </c>
      <c r="J16" t="s">
        <v>255</v>
      </c>
    </row>
    <row r="17" spans="1:10" x14ac:dyDescent="0.25">
      <c r="A17" t="s">
        <v>249</v>
      </c>
      <c r="B17" t="s">
        <v>289</v>
      </c>
      <c r="C17" s="2" t="s">
        <v>290</v>
      </c>
      <c r="D17" s="2" t="s">
        <v>291</v>
      </c>
      <c r="E17" s="2"/>
      <c r="F17" s="2"/>
      <c r="G17" s="2"/>
      <c r="H17" t="s">
        <v>264</v>
      </c>
      <c r="I17" t="s">
        <v>292</v>
      </c>
      <c r="J17" t="s">
        <v>255</v>
      </c>
    </row>
    <row r="18" spans="1:10" x14ac:dyDescent="0.25">
      <c r="A18" t="s">
        <v>249</v>
      </c>
      <c r="B18" t="s">
        <v>293</v>
      </c>
      <c r="C18" s="2"/>
      <c r="D18" s="2" t="s">
        <v>294</v>
      </c>
      <c r="E18" s="2"/>
      <c r="F18" s="2"/>
      <c r="G18" s="2"/>
      <c r="H18" t="s">
        <v>264</v>
      </c>
      <c r="I18" t="s">
        <v>295</v>
      </c>
      <c r="J18" t="s">
        <v>255</v>
      </c>
    </row>
    <row r="19" spans="1:10" x14ac:dyDescent="0.25">
      <c r="A19" t="s">
        <v>249</v>
      </c>
      <c r="B19" t="s">
        <v>296</v>
      </c>
      <c r="C19" s="2" t="s">
        <v>297</v>
      </c>
      <c r="D19" s="2" t="s">
        <v>298</v>
      </c>
      <c r="E19" s="2"/>
      <c r="F19" s="2"/>
      <c r="G19" s="2"/>
      <c r="H19" t="s">
        <v>264</v>
      </c>
      <c r="I19" t="s">
        <v>299</v>
      </c>
      <c r="J19" t="s">
        <v>255</v>
      </c>
    </row>
    <row r="20" spans="1:10" x14ac:dyDescent="0.25">
      <c r="A20" t="s">
        <v>249</v>
      </c>
      <c r="B20" t="s">
        <v>300</v>
      </c>
      <c r="C20" s="2"/>
      <c r="D20" s="2" t="s">
        <v>301</v>
      </c>
      <c r="E20" s="2"/>
      <c r="F20" s="2"/>
      <c r="G20" s="2"/>
      <c r="H20" t="s">
        <v>264</v>
      </c>
      <c r="I20" t="s">
        <v>302</v>
      </c>
      <c r="J20" t="s">
        <v>255</v>
      </c>
    </row>
    <row r="21" spans="1:10" x14ac:dyDescent="0.25">
      <c r="A21" t="s">
        <v>249</v>
      </c>
      <c r="B21" t="s">
        <v>303</v>
      </c>
      <c r="C21" s="2"/>
      <c r="D21" s="2" t="s">
        <v>304</v>
      </c>
      <c r="E21" s="2"/>
      <c r="F21" s="2"/>
      <c r="G21" s="2"/>
      <c r="H21" t="s">
        <v>264</v>
      </c>
      <c r="I21" t="s">
        <v>305</v>
      </c>
      <c r="J21" t="s">
        <v>255</v>
      </c>
    </row>
    <row r="22" spans="1:10" x14ac:dyDescent="0.25">
      <c r="A22" t="s">
        <v>249</v>
      </c>
      <c r="B22" t="s">
        <v>306</v>
      </c>
      <c r="C22" s="2"/>
      <c r="D22" s="2" t="s">
        <v>307</v>
      </c>
      <c r="E22" s="2"/>
      <c r="F22" s="2"/>
      <c r="G22" s="2"/>
      <c r="H22" t="s">
        <v>264</v>
      </c>
      <c r="I22" t="s">
        <v>305</v>
      </c>
      <c r="J22" t="s">
        <v>255</v>
      </c>
    </row>
    <row r="23" spans="1:10" x14ac:dyDescent="0.25">
      <c r="A23" t="s">
        <v>249</v>
      </c>
      <c r="B23" t="s">
        <v>308</v>
      </c>
      <c r="C23" s="2" t="s">
        <v>309</v>
      </c>
      <c r="D23" s="2" t="s">
        <v>310</v>
      </c>
      <c r="E23" s="2"/>
      <c r="F23" s="2"/>
      <c r="G23" s="2"/>
      <c r="H23" t="s">
        <v>264</v>
      </c>
      <c r="I23" t="s">
        <v>311</v>
      </c>
      <c r="J23" t="s">
        <v>255</v>
      </c>
    </row>
    <row r="24" spans="1:10" x14ac:dyDescent="0.25">
      <c r="A24" t="s">
        <v>249</v>
      </c>
      <c r="B24" t="s">
        <v>312</v>
      </c>
      <c r="C24" s="2" t="s">
        <v>313</v>
      </c>
      <c r="D24" s="2" t="s">
        <v>314</v>
      </c>
      <c r="E24" s="2"/>
      <c r="F24" s="2"/>
      <c r="G24" s="2"/>
      <c r="H24" t="s">
        <v>264</v>
      </c>
      <c r="I24" t="s">
        <v>315</v>
      </c>
      <c r="J24" t="s">
        <v>255</v>
      </c>
    </row>
    <row r="25" spans="1:10" x14ac:dyDescent="0.25">
      <c r="A25" t="s">
        <v>249</v>
      </c>
      <c r="B25" t="s">
        <v>316</v>
      </c>
      <c r="C25" s="2" t="s">
        <v>317</v>
      </c>
      <c r="D25" s="2"/>
      <c r="E25" s="2"/>
      <c r="F25" s="2"/>
      <c r="G25" s="2"/>
      <c r="H25" t="s">
        <v>264</v>
      </c>
      <c r="I25" t="s">
        <v>315</v>
      </c>
      <c r="J25" t="s">
        <v>255</v>
      </c>
    </row>
    <row r="26" spans="1:10" x14ac:dyDescent="0.25">
      <c r="A26" t="s">
        <v>249</v>
      </c>
      <c r="B26" t="s">
        <v>318</v>
      </c>
      <c r="C26" s="2"/>
      <c r="D26" s="2" t="s">
        <v>319</v>
      </c>
      <c r="E26" s="2"/>
      <c r="F26" s="2"/>
      <c r="G26" s="2"/>
      <c r="H26" t="s">
        <v>264</v>
      </c>
      <c r="I26" t="s">
        <v>320</v>
      </c>
      <c r="J26" t="s">
        <v>255</v>
      </c>
    </row>
    <row r="27" spans="1:10" x14ac:dyDescent="0.25">
      <c r="A27" t="s">
        <v>149</v>
      </c>
      <c r="B27" t="s">
        <v>88</v>
      </c>
      <c r="C27" s="2"/>
      <c r="D27" s="2"/>
      <c r="E27" s="2"/>
      <c r="F27" s="2"/>
      <c r="G27" s="2"/>
      <c r="H27" t="s">
        <v>321</v>
      </c>
      <c r="J27" t="s">
        <v>255</v>
      </c>
    </row>
    <row r="28" spans="1:10" x14ac:dyDescent="0.25">
      <c r="A28" t="s">
        <v>149</v>
      </c>
      <c r="B28" t="s">
        <v>322</v>
      </c>
      <c r="C28" s="2"/>
      <c r="D28" s="2"/>
      <c r="E28" s="2"/>
      <c r="F28" s="2"/>
      <c r="G28" s="2"/>
      <c r="H28" t="s">
        <v>321</v>
      </c>
      <c r="J28" t="s">
        <v>255</v>
      </c>
    </row>
    <row r="29" spans="1:10" x14ac:dyDescent="0.25">
      <c r="A29" t="s">
        <v>149</v>
      </c>
      <c r="B29" t="s">
        <v>323</v>
      </c>
      <c r="C29" s="2"/>
      <c r="D29" s="2"/>
      <c r="E29" s="2"/>
      <c r="F29" s="2"/>
      <c r="G29" s="2"/>
      <c r="H29" t="s">
        <v>321</v>
      </c>
      <c r="J29" t="s">
        <v>255</v>
      </c>
    </row>
    <row r="30" spans="1:10" x14ac:dyDescent="0.25">
      <c r="A30" t="s">
        <v>149</v>
      </c>
      <c r="B30" t="s">
        <v>324</v>
      </c>
      <c r="C30" s="2"/>
      <c r="D30" s="2"/>
      <c r="E30" s="2"/>
      <c r="F30" s="2"/>
      <c r="G30" s="2"/>
      <c r="H30" t="s">
        <v>321</v>
      </c>
      <c r="J30" t="s">
        <v>255</v>
      </c>
    </row>
    <row r="31" spans="1:10" x14ac:dyDescent="0.25">
      <c r="A31" t="s">
        <v>149</v>
      </c>
      <c r="B31" t="s">
        <v>325</v>
      </c>
      <c r="C31" s="2"/>
      <c r="D31" s="2"/>
      <c r="E31" s="2"/>
      <c r="F31" s="2"/>
      <c r="G31" s="2"/>
      <c r="H31" t="s">
        <v>321</v>
      </c>
      <c r="J31" t="s">
        <v>255</v>
      </c>
    </row>
    <row r="32" spans="1:10" x14ac:dyDescent="0.25">
      <c r="A32" t="s">
        <v>173</v>
      </c>
      <c r="B32" t="s">
        <v>171</v>
      </c>
      <c r="C32" s="2"/>
      <c r="D32" s="2"/>
      <c r="E32" s="2"/>
      <c r="F32" s="2"/>
      <c r="G32" s="2"/>
      <c r="H32" t="s">
        <v>173</v>
      </c>
      <c r="I32" t="s">
        <v>326</v>
      </c>
      <c r="J32" t="s">
        <v>255</v>
      </c>
    </row>
    <row r="33" spans="1:10" x14ac:dyDescent="0.25">
      <c r="A33" t="s">
        <v>173</v>
      </c>
      <c r="B33" t="s">
        <v>176</v>
      </c>
      <c r="C33" s="2"/>
      <c r="D33" s="2"/>
      <c r="E33" s="2"/>
      <c r="F33" s="2"/>
      <c r="G33" s="2"/>
      <c r="H33" t="s">
        <v>173</v>
      </c>
      <c r="I33" t="s">
        <v>327</v>
      </c>
      <c r="J33" t="s">
        <v>255</v>
      </c>
    </row>
    <row r="34" spans="1:10" x14ac:dyDescent="0.25">
      <c r="A34" t="s">
        <v>173</v>
      </c>
      <c r="B34" t="s">
        <v>179</v>
      </c>
      <c r="C34" s="2"/>
      <c r="D34" s="2"/>
      <c r="E34" s="2"/>
      <c r="F34" s="2"/>
      <c r="G34" s="2"/>
      <c r="H34" t="s">
        <v>173</v>
      </c>
      <c r="I34" t="s">
        <v>326</v>
      </c>
      <c r="J34" t="s">
        <v>255</v>
      </c>
    </row>
    <row r="35" spans="1:10" x14ac:dyDescent="0.25">
      <c r="A35" t="s">
        <v>173</v>
      </c>
      <c r="B35" t="s">
        <v>182</v>
      </c>
      <c r="C35" s="2"/>
      <c r="D35" s="2"/>
      <c r="E35" s="2"/>
      <c r="F35" s="2"/>
      <c r="G35" s="2"/>
      <c r="H35" t="s">
        <v>173</v>
      </c>
      <c r="I35" t="s">
        <v>327</v>
      </c>
      <c r="J35" t="s">
        <v>255</v>
      </c>
    </row>
    <row r="36" spans="1:10" x14ac:dyDescent="0.25">
      <c r="A36" t="s">
        <v>173</v>
      </c>
      <c r="B36" t="s">
        <v>185</v>
      </c>
      <c r="C36" s="2"/>
      <c r="D36" s="2"/>
      <c r="E36" s="2"/>
      <c r="F36" s="2"/>
      <c r="G36" s="2"/>
      <c r="H36" t="s">
        <v>173</v>
      </c>
      <c r="I36" t="s">
        <v>327</v>
      </c>
      <c r="J36" t="s">
        <v>255</v>
      </c>
    </row>
    <row r="37" spans="1:10" x14ac:dyDescent="0.25">
      <c r="A37" t="s">
        <v>173</v>
      </c>
      <c r="B37" t="s">
        <v>187</v>
      </c>
      <c r="C37" s="2"/>
      <c r="D37" s="2"/>
      <c r="E37" s="2"/>
      <c r="F37" s="2"/>
      <c r="G37" s="2"/>
      <c r="H37" t="s">
        <v>173</v>
      </c>
      <c r="I37" t="s">
        <v>326</v>
      </c>
      <c r="J37" t="s">
        <v>255</v>
      </c>
    </row>
    <row r="38" spans="1:10" x14ac:dyDescent="0.25">
      <c r="A38" t="s">
        <v>173</v>
      </c>
      <c r="B38" t="s">
        <v>189</v>
      </c>
      <c r="C38" s="2"/>
      <c r="D38" s="2"/>
      <c r="E38" s="2"/>
      <c r="F38" s="2"/>
      <c r="G38" s="2"/>
      <c r="H38" t="s">
        <v>173</v>
      </c>
      <c r="I38" t="s">
        <v>327</v>
      </c>
      <c r="J38" t="s">
        <v>255</v>
      </c>
    </row>
    <row r="39" spans="1:10" x14ac:dyDescent="0.25">
      <c r="A39" t="s">
        <v>173</v>
      </c>
      <c r="B39" t="s">
        <v>191</v>
      </c>
      <c r="C39" s="2"/>
      <c r="D39" s="2"/>
      <c r="E39" s="2"/>
      <c r="F39" s="2"/>
      <c r="G39" s="2"/>
      <c r="H39" t="s">
        <v>173</v>
      </c>
      <c r="I39" t="s">
        <v>326</v>
      </c>
      <c r="J39" t="s">
        <v>255</v>
      </c>
    </row>
    <row r="40" spans="1:10" x14ac:dyDescent="0.25">
      <c r="A40" t="s">
        <v>173</v>
      </c>
      <c r="B40" t="s">
        <v>193</v>
      </c>
      <c r="C40" s="2"/>
      <c r="D40" s="2"/>
      <c r="E40" s="2"/>
      <c r="F40" s="2"/>
      <c r="G40" s="2"/>
      <c r="H40" t="s">
        <v>173</v>
      </c>
      <c r="I40" t="s">
        <v>327</v>
      </c>
      <c r="J40" t="s">
        <v>255</v>
      </c>
    </row>
    <row r="43" spans="1:10" x14ac:dyDescent="0.25">
      <c r="A43" s="8" t="s">
        <v>328</v>
      </c>
    </row>
    <row r="44" spans="1:10" x14ac:dyDescent="0.25">
      <c r="A44" s="68" t="s">
        <v>329</v>
      </c>
      <c r="B44" s="63"/>
      <c r="C44" s="63"/>
      <c r="D44" s="63"/>
      <c r="E44" s="63"/>
      <c r="F44" s="63"/>
      <c r="G44" s="63"/>
      <c r="H44" s="63"/>
      <c r="I44" s="63"/>
      <c r="J44" s="63"/>
    </row>
    <row r="45" spans="1:10" x14ac:dyDescent="0.25">
      <c r="A45" s="68" t="s">
        <v>330</v>
      </c>
      <c r="B45" s="63"/>
      <c r="C45" s="63"/>
      <c r="D45" s="63"/>
      <c r="E45" s="63"/>
      <c r="F45" s="63"/>
      <c r="G45" s="63"/>
      <c r="H45" s="63"/>
      <c r="I45" s="63"/>
      <c r="J45" s="63"/>
    </row>
    <row r="46" spans="1:10" x14ac:dyDescent="0.25">
      <c r="A46" s="68" t="s">
        <v>331</v>
      </c>
      <c r="B46" s="63"/>
      <c r="C46" s="63"/>
      <c r="D46" s="63"/>
      <c r="E46" s="63"/>
      <c r="F46" s="63"/>
      <c r="G46" s="63"/>
      <c r="H46" s="63"/>
      <c r="I46" s="63"/>
      <c r="J46" s="63"/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sqref="A1:D1"/>
    </sheetView>
  </sheetViews>
  <sheetFormatPr defaultRowHeight="15" x14ac:dyDescent="0.25"/>
  <cols>
    <col min="1" max="1" width="25" customWidth="1"/>
    <col min="2" max="2" width="15" customWidth="1"/>
    <col min="3" max="3" width="20" customWidth="1"/>
    <col min="4" max="4" width="25" customWidth="1"/>
    <col min="5" max="5" width="12" customWidth="1"/>
    <col min="6" max="6" width="15" customWidth="1"/>
  </cols>
  <sheetData>
    <row r="1" spans="1:6" ht="18.75" customHeight="1" x14ac:dyDescent="0.3">
      <c r="A1" s="64" t="s">
        <v>332</v>
      </c>
      <c r="B1" s="63"/>
      <c r="C1" s="63"/>
      <c r="D1" s="63"/>
    </row>
    <row r="3" spans="1:6" ht="15.75" customHeight="1" x14ac:dyDescent="0.25">
      <c r="A3" s="65" t="s">
        <v>333</v>
      </c>
      <c r="B3" s="63"/>
      <c r="C3" s="63"/>
      <c r="D3" s="63"/>
    </row>
    <row r="4" spans="1:6" x14ac:dyDescent="0.25">
      <c r="A4" s="8" t="s">
        <v>334</v>
      </c>
      <c r="B4" t="s">
        <v>335</v>
      </c>
    </row>
    <row r="5" spans="1:6" x14ac:dyDescent="0.25">
      <c r="A5" s="8" t="s">
        <v>16</v>
      </c>
      <c r="B5" t="s">
        <v>336</v>
      </c>
    </row>
    <row r="6" spans="1:6" x14ac:dyDescent="0.25">
      <c r="A6" s="8" t="s">
        <v>337</v>
      </c>
      <c r="B6" t="s">
        <v>338</v>
      </c>
    </row>
    <row r="7" spans="1:6" x14ac:dyDescent="0.25">
      <c r="A7" s="8" t="s">
        <v>339</v>
      </c>
      <c r="B7" t="s">
        <v>340</v>
      </c>
    </row>
    <row r="8" spans="1:6" x14ac:dyDescent="0.25">
      <c r="A8" s="8" t="s">
        <v>341</v>
      </c>
      <c r="B8" s="2" t="s">
        <v>342</v>
      </c>
    </row>
    <row r="10" spans="1:6" ht="15.75" customHeight="1" x14ac:dyDescent="0.25">
      <c r="A10" s="70" t="s">
        <v>343</v>
      </c>
      <c r="B10" s="63"/>
      <c r="C10" s="63"/>
      <c r="D10" s="63"/>
    </row>
    <row r="11" spans="1:6" x14ac:dyDescent="0.25">
      <c r="A11" s="1" t="s">
        <v>1</v>
      </c>
      <c r="B11" s="1" t="s">
        <v>344</v>
      </c>
      <c r="C11" s="1" t="s">
        <v>248</v>
      </c>
      <c r="D11" s="1" t="s">
        <v>14</v>
      </c>
    </row>
    <row r="12" spans="1:6" x14ac:dyDescent="0.25">
      <c r="A12" s="8" t="s">
        <v>345</v>
      </c>
      <c r="B12" s="5">
        <v>494</v>
      </c>
      <c r="C12" s="2" t="s">
        <v>336</v>
      </c>
      <c r="D12" t="s">
        <v>346</v>
      </c>
    </row>
    <row r="13" spans="1:6" x14ac:dyDescent="0.25">
      <c r="A13" s="8" t="s">
        <v>347</v>
      </c>
      <c r="B13" s="5">
        <v>508</v>
      </c>
      <c r="C13" s="2" t="s">
        <v>336</v>
      </c>
      <c r="D13" t="s">
        <v>348</v>
      </c>
    </row>
    <row r="15" spans="1:6" x14ac:dyDescent="0.25">
      <c r="A15" s="71" t="s">
        <v>349</v>
      </c>
      <c r="B15" s="63"/>
      <c r="C15" s="63"/>
      <c r="D15" s="63"/>
      <c r="E15" s="63"/>
      <c r="F15" s="63"/>
    </row>
    <row r="16" spans="1:6" x14ac:dyDescent="0.25">
      <c r="A16" s="1" t="s">
        <v>0</v>
      </c>
      <c r="B16" s="1" t="s">
        <v>345</v>
      </c>
      <c r="C16" s="1" t="s">
        <v>347</v>
      </c>
      <c r="D16" s="1" t="s">
        <v>350</v>
      </c>
      <c r="E16" s="1" t="s">
        <v>351</v>
      </c>
      <c r="F16" s="1" t="s">
        <v>352</v>
      </c>
    </row>
    <row r="17" spans="1:6" x14ac:dyDescent="0.25">
      <c r="A17" t="s">
        <v>255</v>
      </c>
      <c r="B17" s="25">
        <v>494</v>
      </c>
      <c r="C17" s="25">
        <v>508</v>
      </c>
      <c r="D17" s="26">
        <f>(B17+C17)/2</f>
        <v>501</v>
      </c>
      <c r="E17" t="s">
        <v>353</v>
      </c>
      <c r="F17" t="s">
        <v>22</v>
      </c>
    </row>
    <row r="18" spans="1:6" x14ac:dyDescent="0.25">
      <c r="A18" s="2"/>
      <c r="B18" s="2"/>
      <c r="C18" s="2"/>
      <c r="D18" s="26" t="str">
        <f>IF(B18&lt;&gt;"", (B18+C18)/2, "")</f>
        <v/>
      </c>
      <c r="E18" s="27" t="str">
        <f>IF(D18&lt;&gt;"", IF(D17&lt;&gt;"", (D18-D17)/D17*100, 0), "")</f>
        <v/>
      </c>
      <c r="F18" s="2"/>
    </row>
    <row r="19" spans="1:6" x14ac:dyDescent="0.25">
      <c r="A19" s="2"/>
      <c r="B19" s="2"/>
      <c r="C19" s="2"/>
      <c r="D19" s="26" t="str">
        <f>IF(B19&lt;&gt;"", (B19+C19)/2, "")</f>
        <v/>
      </c>
      <c r="E19" s="27" t="str">
        <f>IF(D19&lt;&gt;"", IF(D18&lt;&gt;"", (D19-D18)/D18*100, 0), "")</f>
        <v/>
      </c>
      <c r="F19" s="2"/>
    </row>
    <row r="20" spans="1:6" x14ac:dyDescent="0.25">
      <c r="A20" s="2"/>
      <c r="B20" s="2"/>
      <c r="C20" s="2"/>
      <c r="D20" s="26" t="str">
        <f>IF(B20&lt;&gt;"", (B20+C20)/2, "")</f>
        <v/>
      </c>
      <c r="E20" s="27" t="str">
        <f>IF(D20&lt;&gt;"", IF(D19&lt;&gt;"", (D20-D19)/D19*100, 0), "")</f>
        <v/>
      </c>
      <c r="F20" s="2"/>
    </row>
    <row r="21" spans="1:6" x14ac:dyDescent="0.25">
      <c r="A21" s="2"/>
      <c r="B21" s="2"/>
      <c r="C21" s="2"/>
      <c r="D21" s="26" t="str">
        <f>IF(B21&lt;&gt;"", (B21+C21)/2, "")</f>
        <v/>
      </c>
      <c r="E21" s="27" t="str">
        <f>IF(D21&lt;&gt;"", IF(D20&lt;&gt;"", (D21-D20)/D20*100, 0), "")</f>
        <v/>
      </c>
      <c r="F21" s="2"/>
    </row>
    <row r="22" spans="1:6" x14ac:dyDescent="0.25">
      <c r="A22" s="2"/>
      <c r="B22" s="2"/>
      <c r="C22" s="2"/>
      <c r="D22" s="26" t="str">
        <f>IF(B22&lt;&gt;"", (B22+C22)/2, "")</f>
        <v/>
      </c>
      <c r="E22" s="27" t="str">
        <f>IF(D22&lt;&gt;"", IF(D21&lt;&gt;"", (D22-D21)/D21*100, 0), "")</f>
        <v/>
      </c>
      <c r="F22" s="2"/>
    </row>
    <row r="24" spans="1:6" x14ac:dyDescent="0.25">
      <c r="A24" s="69" t="s">
        <v>354</v>
      </c>
      <c r="B24" s="63"/>
      <c r="C24" s="63"/>
      <c r="D24" s="63"/>
      <c r="E24" s="63"/>
      <c r="F24" s="63"/>
    </row>
    <row r="25" spans="1:6" x14ac:dyDescent="0.25">
      <c r="A25" s="68" t="s">
        <v>355</v>
      </c>
      <c r="B25" s="63"/>
      <c r="C25" s="63"/>
      <c r="D25" s="63"/>
      <c r="E25" s="63"/>
      <c r="F25" s="63"/>
    </row>
    <row r="26" spans="1:6" x14ac:dyDescent="0.25">
      <c r="A26" s="68" t="s">
        <v>356</v>
      </c>
      <c r="B26" s="63"/>
      <c r="C26" s="63"/>
      <c r="D26" s="63"/>
      <c r="E26" s="63"/>
      <c r="F26" s="63"/>
    </row>
    <row r="27" spans="1:6" x14ac:dyDescent="0.25">
      <c r="A27" s="68" t="s">
        <v>357</v>
      </c>
      <c r="B27" s="63"/>
      <c r="C27" s="63"/>
      <c r="D27" s="63"/>
      <c r="E27" s="63"/>
      <c r="F27" s="63"/>
    </row>
    <row r="28" spans="1:6" x14ac:dyDescent="0.25">
      <c r="A28" s="68" t="s">
        <v>358</v>
      </c>
      <c r="B28" s="63"/>
      <c r="C28" s="63"/>
      <c r="D28" s="63"/>
      <c r="E28" s="63"/>
      <c r="F28" s="63"/>
    </row>
    <row r="29" spans="1:6" x14ac:dyDescent="0.25">
      <c r="A29" s="68" t="s">
        <v>359</v>
      </c>
      <c r="B29" s="63"/>
      <c r="C29" s="63"/>
      <c r="D29" s="63"/>
      <c r="E29" s="63"/>
      <c r="F29" s="63"/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3"/>
  <sheetViews>
    <sheetView workbookViewId="0"/>
  </sheetViews>
  <sheetFormatPr defaultRowHeight="15" x14ac:dyDescent="0.25"/>
  <cols>
    <col min="1" max="1" width="10" customWidth="1"/>
    <col min="2" max="2" width="12" customWidth="1"/>
    <col min="3" max="3" width="30" customWidth="1"/>
    <col min="4" max="6" width="14" customWidth="1"/>
    <col min="7" max="7" width="10" customWidth="1"/>
    <col min="8" max="8" width="12" customWidth="1"/>
    <col min="9" max="9" width="14" customWidth="1"/>
    <col min="10" max="11" width="10" customWidth="1"/>
    <col min="12" max="12" width="20" customWidth="1"/>
  </cols>
  <sheetData>
    <row r="1" spans="1:12" ht="18.75" x14ac:dyDescent="0.3">
      <c r="A1" s="74" t="s">
        <v>360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spans="1:12" x14ac:dyDescent="0.25">
      <c r="A2" s="72" t="s">
        <v>361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4" spans="1:12" ht="15.75" x14ac:dyDescent="0.25">
      <c r="A4" s="73" t="s">
        <v>362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</row>
    <row r="5" spans="1:12" x14ac:dyDescent="0.25">
      <c r="A5" s="33" t="s">
        <v>0</v>
      </c>
      <c r="B5" s="33" t="s">
        <v>363</v>
      </c>
      <c r="C5" s="33" t="s">
        <v>249</v>
      </c>
      <c r="D5" s="33" t="s">
        <v>364</v>
      </c>
      <c r="E5" s="33" t="s">
        <v>365</v>
      </c>
      <c r="F5" s="33" t="s">
        <v>366</v>
      </c>
      <c r="G5" s="33" t="s">
        <v>367</v>
      </c>
      <c r="H5" s="33" t="s">
        <v>368</v>
      </c>
      <c r="I5" s="33" t="s">
        <v>369</v>
      </c>
      <c r="J5" s="33" t="s">
        <v>11</v>
      </c>
      <c r="K5" s="33" t="s">
        <v>370</v>
      </c>
      <c r="L5" s="33" t="s">
        <v>14</v>
      </c>
    </row>
    <row r="6" spans="1:12" x14ac:dyDescent="0.25">
      <c r="A6" s="29">
        <v>45970.967263645827</v>
      </c>
      <c r="B6" t="s">
        <v>371</v>
      </c>
      <c r="C6" t="s">
        <v>74</v>
      </c>
      <c r="D6" s="38">
        <v>56.5</v>
      </c>
      <c r="E6" s="39">
        <f t="shared" ref="E6:E20" si="0">D6*0.13</f>
        <v>7.3450000000000006</v>
      </c>
      <c r="F6" s="39">
        <f t="shared" ref="F6:F20" si="1">D6+E6</f>
        <v>63.844999999999999</v>
      </c>
      <c r="G6" s="40" t="s">
        <v>372</v>
      </c>
      <c r="H6" s="39">
        <f t="shared" ref="H6:H20" si="2">IF(G6="SI",0,D6*0.02)</f>
        <v>1.1300000000000001</v>
      </c>
      <c r="I6" s="39">
        <f t="shared" ref="I6:I20" si="3">F6-H6</f>
        <v>62.714999999999996</v>
      </c>
      <c r="J6" t="s">
        <v>373</v>
      </c>
      <c r="K6">
        <v>41</v>
      </c>
    </row>
    <row r="7" spans="1:12" x14ac:dyDescent="0.25">
      <c r="A7" s="29">
        <v>45970.967263645827</v>
      </c>
      <c r="B7" t="s">
        <v>374</v>
      </c>
      <c r="C7" t="s">
        <v>56</v>
      </c>
      <c r="D7" s="38">
        <v>56.5</v>
      </c>
      <c r="E7" s="39">
        <f t="shared" si="0"/>
        <v>7.3450000000000006</v>
      </c>
      <c r="F7" s="39">
        <f t="shared" si="1"/>
        <v>63.844999999999999</v>
      </c>
      <c r="G7" s="40" t="s">
        <v>372</v>
      </c>
      <c r="H7" s="39">
        <f t="shared" si="2"/>
        <v>1.1300000000000001</v>
      </c>
      <c r="I7" s="39">
        <f t="shared" si="3"/>
        <v>62.714999999999996</v>
      </c>
      <c r="J7" t="s">
        <v>373</v>
      </c>
      <c r="K7">
        <v>42</v>
      </c>
    </row>
    <row r="8" spans="1:12" x14ac:dyDescent="0.25">
      <c r="A8" s="29">
        <v>45970.967263645827</v>
      </c>
      <c r="B8" t="s">
        <v>375</v>
      </c>
      <c r="C8" t="s">
        <v>42</v>
      </c>
      <c r="D8" s="38">
        <v>356.5</v>
      </c>
      <c r="E8" s="39">
        <f t="shared" si="0"/>
        <v>46.344999999999999</v>
      </c>
      <c r="F8" s="39">
        <f t="shared" si="1"/>
        <v>402.84500000000003</v>
      </c>
      <c r="G8" s="40" t="s">
        <v>372</v>
      </c>
      <c r="H8" s="39">
        <f t="shared" si="2"/>
        <v>7.13</v>
      </c>
      <c r="I8" s="39">
        <f t="shared" si="3"/>
        <v>395.71500000000003</v>
      </c>
      <c r="J8" t="s">
        <v>373</v>
      </c>
      <c r="K8">
        <v>43</v>
      </c>
    </row>
    <row r="9" spans="1:12" x14ac:dyDescent="0.25">
      <c r="A9" s="29">
        <v>45970.967263645827</v>
      </c>
      <c r="B9" t="s">
        <v>376</v>
      </c>
      <c r="C9" t="s">
        <v>75</v>
      </c>
      <c r="D9" s="38">
        <v>1237.3499999999999</v>
      </c>
      <c r="E9" s="39">
        <f t="shared" si="0"/>
        <v>160.85550000000001</v>
      </c>
      <c r="F9" s="39">
        <f t="shared" si="1"/>
        <v>1398.2055</v>
      </c>
      <c r="G9" s="40" t="s">
        <v>372</v>
      </c>
      <c r="H9" s="39">
        <f t="shared" si="2"/>
        <v>24.747</v>
      </c>
      <c r="I9" s="39">
        <f t="shared" si="3"/>
        <v>1373.4585</v>
      </c>
      <c r="J9" t="s">
        <v>373</v>
      </c>
      <c r="K9">
        <v>44</v>
      </c>
    </row>
    <row r="10" spans="1:12" x14ac:dyDescent="0.25">
      <c r="A10" s="29">
        <v>45970.967263657411</v>
      </c>
      <c r="B10" t="s">
        <v>377</v>
      </c>
      <c r="C10" t="s">
        <v>80</v>
      </c>
      <c r="D10" s="38">
        <v>1171.18</v>
      </c>
      <c r="E10" s="39">
        <f t="shared" si="0"/>
        <v>152.25340000000003</v>
      </c>
      <c r="F10" s="39">
        <f t="shared" si="1"/>
        <v>1323.4334000000001</v>
      </c>
      <c r="G10" s="40" t="s">
        <v>372</v>
      </c>
      <c r="H10" s="39">
        <f t="shared" si="2"/>
        <v>23.4236</v>
      </c>
      <c r="I10" s="39">
        <f t="shared" si="3"/>
        <v>1300.0098</v>
      </c>
      <c r="J10" t="s">
        <v>373</v>
      </c>
      <c r="K10">
        <v>53</v>
      </c>
    </row>
    <row r="11" spans="1:12" x14ac:dyDescent="0.25">
      <c r="A11" s="29">
        <v>45970.967263657411</v>
      </c>
      <c r="B11" t="s">
        <v>378</v>
      </c>
      <c r="C11" t="s">
        <v>47</v>
      </c>
      <c r="D11" s="38">
        <v>282.5</v>
      </c>
      <c r="E11" s="39">
        <f t="shared" si="0"/>
        <v>36.725000000000001</v>
      </c>
      <c r="F11" s="39">
        <f t="shared" si="1"/>
        <v>319.22500000000002</v>
      </c>
      <c r="G11" s="40" t="s">
        <v>372</v>
      </c>
      <c r="H11" s="39">
        <f t="shared" si="2"/>
        <v>5.65</v>
      </c>
      <c r="I11" s="39">
        <f t="shared" si="3"/>
        <v>313.57500000000005</v>
      </c>
      <c r="J11" t="s">
        <v>373</v>
      </c>
      <c r="K11">
        <v>54</v>
      </c>
    </row>
    <row r="12" spans="1:12" x14ac:dyDescent="0.25">
      <c r="A12" s="29">
        <v>45970.967263657411</v>
      </c>
      <c r="B12" t="s">
        <v>379</v>
      </c>
      <c r="C12" t="s">
        <v>81</v>
      </c>
      <c r="D12" s="38">
        <v>284.76</v>
      </c>
      <c r="E12" s="39">
        <f t="shared" si="0"/>
        <v>37.018799999999999</v>
      </c>
      <c r="F12" s="39">
        <f t="shared" si="1"/>
        <v>321.77879999999999</v>
      </c>
      <c r="G12" s="40" t="s">
        <v>372</v>
      </c>
      <c r="H12" s="39">
        <f t="shared" si="2"/>
        <v>5.6951999999999998</v>
      </c>
      <c r="I12" s="39">
        <f t="shared" si="3"/>
        <v>316.08359999999999</v>
      </c>
      <c r="J12" t="s">
        <v>373</v>
      </c>
      <c r="K12">
        <v>55</v>
      </c>
    </row>
    <row r="13" spans="1:12" x14ac:dyDescent="0.25">
      <c r="A13" s="29">
        <v>45970.967263657411</v>
      </c>
      <c r="B13" t="s">
        <v>380</v>
      </c>
      <c r="C13" t="s">
        <v>75</v>
      </c>
      <c r="D13" s="38">
        <v>149.16</v>
      </c>
      <c r="E13" s="39">
        <f t="shared" si="0"/>
        <v>19.390799999999999</v>
      </c>
      <c r="F13" s="39">
        <f t="shared" si="1"/>
        <v>168.55079999999998</v>
      </c>
      <c r="G13" s="40" t="s">
        <v>372</v>
      </c>
      <c r="H13" s="39">
        <f t="shared" si="2"/>
        <v>2.9832000000000001</v>
      </c>
      <c r="I13" s="39">
        <f t="shared" si="3"/>
        <v>165.56759999999997</v>
      </c>
      <c r="J13" t="s">
        <v>373</v>
      </c>
      <c r="K13">
        <v>56</v>
      </c>
    </row>
    <row r="14" spans="1:12" x14ac:dyDescent="0.25">
      <c r="A14" s="29">
        <v>45970.967263657411</v>
      </c>
      <c r="B14" t="s">
        <v>381</v>
      </c>
      <c r="C14" t="s">
        <v>82</v>
      </c>
      <c r="D14" s="38">
        <v>226</v>
      </c>
      <c r="E14" s="39">
        <f t="shared" si="0"/>
        <v>29.380000000000003</v>
      </c>
      <c r="F14" s="39">
        <f t="shared" si="1"/>
        <v>255.38</v>
      </c>
      <c r="G14" s="40" t="s">
        <v>372</v>
      </c>
      <c r="H14" s="39">
        <f t="shared" si="2"/>
        <v>4.5200000000000005</v>
      </c>
      <c r="I14" s="39">
        <f t="shared" si="3"/>
        <v>250.85999999999999</v>
      </c>
      <c r="J14" t="s">
        <v>373</v>
      </c>
      <c r="K14">
        <v>57</v>
      </c>
    </row>
    <row r="15" spans="1:12" x14ac:dyDescent="0.25">
      <c r="A15" s="29">
        <v>45970.967263657411</v>
      </c>
      <c r="B15" t="s">
        <v>382</v>
      </c>
      <c r="C15" t="s">
        <v>87</v>
      </c>
      <c r="D15" s="38">
        <v>761.06</v>
      </c>
      <c r="E15" s="39">
        <f t="shared" si="0"/>
        <v>98.937799999999996</v>
      </c>
      <c r="F15" s="39">
        <f t="shared" si="1"/>
        <v>859.99779999999998</v>
      </c>
      <c r="G15" s="40" t="s">
        <v>372</v>
      </c>
      <c r="H15" s="39">
        <f t="shared" si="2"/>
        <v>15.2212</v>
      </c>
      <c r="I15" s="39">
        <f t="shared" si="3"/>
        <v>844.77660000000003</v>
      </c>
      <c r="J15" t="s">
        <v>373</v>
      </c>
      <c r="K15">
        <v>62</v>
      </c>
    </row>
    <row r="16" spans="1:12" x14ac:dyDescent="0.25">
      <c r="A16" s="29">
        <v>45970.979820659719</v>
      </c>
      <c r="B16" t="s">
        <v>383</v>
      </c>
      <c r="C16" t="s">
        <v>49</v>
      </c>
      <c r="D16" s="38">
        <v>209.06</v>
      </c>
      <c r="E16" s="39">
        <f t="shared" si="0"/>
        <v>27.177800000000001</v>
      </c>
      <c r="F16" s="39">
        <f t="shared" si="1"/>
        <v>236.23779999999999</v>
      </c>
      <c r="G16" s="40" t="s">
        <v>372</v>
      </c>
      <c r="H16" s="39">
        <f t="shared" si="2"/>
        <v>4.1812000000000005</v>
      </c>
      <c r="I16" s="39">
        <f t="shared" si="3"/>
        <v>232.0566</v>
      </c>
      <c r="J16" t="s">
        <v>373</v>
      </c>
      <c r="K16">
        <v>75</v>
      </c>
    </row>
    <row r="17" spans="1:12" x14ac:dyDescent="0.25">
      <c r="A17" s="29">
        <v>45970.979820659719</v>
      </c>
      <c r="B17" t="s">
        <v>384</v>
      </c>
      <c r="C17" t="s">
        <v>55</v>
      </c>
      <c r="D17" s="38">
        <v>56.5</v>
      </c>
      <c r="E17" s="39">
        <f t="shared" si="0"/>
        <v>7.3450000000000006</v>
      </c>
      <c r="F17" s="39">
        <f t="shared" si="1"/>
        <v>63.844999999999999</v>
      </c>
      <c r="G17" s="40" t="s">
        <v>372</v>
      </c>
      <c r="H17" s="39">
        <f t="shared" si="2"/>
        <v>1.1300000000000001</v>
      </c>
      <c r="I17" s="39">
        <f t="shared" si="3"/>
        <v>62.714999999999996</v>
      </c>
      <c r="J17" t="s">
        <v>373</v>
      </c>
      <c r="K17">
        <v>76</v>
      </c>
    </row>
    <row r="18" spans="1:12" x14ac:dyDescent="0.25">
      <c r="A18" s="29">
        <v>45970.979820659719</v>
      </c>
      <c r="B18" t="s">
        <v>385</v>
      </c>
      <c r="C18" t="s">
        <v>56</v>
      </c>
      <c r="D18" s="38">
        <v>56.5</v>
      </c>
      <c r="E18" s="39">
        <f t="shared" si="0"/>
        <v>7.3450000000000006</v>
      </c>
      <c r="F18" s="39">
        <f t="shared" si="1"/>
        <v>63.844999999999999</v>
      </c>
      <c r="G18" s="40" t="s">
        <v>372</v>
      </c>
      <c r="H18" s="39">
        <f t="shared" si="2"/>
        <v>1.1300000000000001</v>
      </c>
      <c r="I18" s="39">
        <f t="shared" si="3"/>
        <v>62.714999999999996</v>
      </c>
      <c r="J18" t="s">
        <v>373</v>
      </c>
      <c r="K18">
        <v>77</v>
      </c>
    </row>
    <row r="19" spans="1:12" x14ac:dyDescent="0.25">
      <c r="A19" s="29">
        <v>45970.979820659719</v>
      </c>
      <c r="B19" t="s">
        <v>386</v>
      </c>
      <c r="C19" t="s">
        <v>45</v>
      </c>
      <c r="D19" s="38">
        <v>333.92</v>
      </c>
      <c r="E19" s="39">
        <f t="shared" si="0"/>
        <v>43.409600000000005</v>
      </c>
      <c r="F19" s="39">
        <f t="shared" si="1"/>
        <v>377.32960000000003</v>
      </c>
      <c r="G19" s="40" t="s">
        <v>372</v>
      </c>
      <c r="H19" s="39">
        <f t="shared" si="2"/>
        <v>6.6784000000000008</v>
      </c>
      <c r="I19" s="39">
        <f t="shared" si="3"/>
        <v>370.65120000000002</v>
      </c>
      <c r="J19" t="s">
        <v>373</v>
      </c>
      <c r="K19">
        <v>78</v>
      </c>
    </row>
    <row r="20" spans="1:12" x14ac:dyDescent="0.25">
      <c r="A20" s="29">
        <v>45970.979820659719</v>
      </c>
      <c r="B20" t="s">
        <v>387</v>
      </c>
      <c r="C20" t="s">
        <v>37</v>
      </c>
      <c r="D20" s="38">
        <v>1689.04</v>
      </c>
      <c r="E20" s="39">
        <f t="shared" si="0"/>
        <v>219.5752</v>
      </c>
      <c r="F20" s="39">
        <f t="shared" si="1"/>
        <v>1908.6152</v>
      </c>
      <c r="G20" s="40" t="s">
        <v>372</v>
      </c>
      <c r="H20" s="39">
        <f t="shared" si="2"/>
        <v>33.780799999999999</v>
      </c>
      <c r="I20" s="39">
        <f t="shared" si="3"/>
        <v>1874.8344</v>
      </c>
      <c r="J20" t="s">
        <v>373</v>
      </c>
      <c r="K20">
        <v>79</v>
      </c>
    </row>
    <row r="21" spans="1:12" x14ac:dyDescent="0.25">
      <c r="A21" s="35" t="s">
        <v>388</v>
      </c>
      <c r="D21" s="36">
        <f>SUM(D6:D20)</f>
        <v>6926.5300000000007</v>
      </c>
      <c r="E21" s="41">
        <f>SUM(E6:E20)</f>
        <v>900.44890000000009</v>
      </c>
      <c r="F21" s="36">
        <f>SUM(F6:F20)</f>
        <v>7826.978900000001</v>
      </c>
    </row>
    <row r="23" spans="1:12" ht="15.75" x14ac:dyDescent="0.25">
      <c r="A23" s="73" t="s">
        <v>389</v>
      </c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</row>
    <row r="24" spans="1:12" x14ac:dyDescent="0.25">
      <c r="A24" s="33" t="s">
        <v>0</v>
      </c>
      <c r="B24" s="33" t="s">
        <v>363</v>
      </c>
      <c r="C24" s="33" t="s">
        <v>149</v>
      </c>
      <c r="D24" s="33" t="s">
        <v>364</v>
      </c>
      <c r="E24" s="33" t="s">
        <v>365</v>
      </c>
      <c r="F24" s="33" t="s">
        <v>366</v>
      </c>
      <c r="G24" s="33" t="s">
        <v>390</v>
      </c>
      <c r="H24" s="33" t="s">
        <v>236</v>
      </c>
      <c r="I24" s="33" t="s">
        <v>10</v>
      </c>
      <c r="J24" s="33" t="s">
        <v>11</v>
      </c>
      <c r="K24" s="33" t="s">
        <v>370</v>
      </c>
      <c r="L24" s="33" t="s">
        <v>14</v>
      </c>
    </row>
    <row r="25" spans="1:12" x14ac:dyDescent="0.25">
      <c r="A25" s="29">
        <v>45970.394962280086</v>
      </c>
      <c r="B25" t="s">
        <v>391</v>
      </c>
      <c r="C25" t="s">
        <v>35</v>
      </c>
      <c r="D25" s="38">
        <v>2477.8761061946911</v>
      </c>
      <c r="E25" s="39">
        <f t="shared" ref="E25:E40" si="4">D25*0.13</f>
        <v>322.12389380530988</v>
      </c>
      <c r="F25" s="39">
        <f t="shared" ref="F25:F40" si="5">D25+E25</f>
        <v>2800.0000000000009</v>
      </c>
      <c r="G25" s="40" t="s">
        <v>392</v>
      </c>
      <c r="H25" s="39">
        <f t="shared" ref="H25:H40" si="6">IF(G25="SI",E25,0)</f>
        <v>322.12389380530988</v>
      </c>
      <c r="I25" t="s">
        <v>393</v>
      </c>
      <c r="J25" t="s">
        <v>394</v>
      </c>
      <c r="K25">
        <v>9</v>
      </c>
    </row>
    <row r="26" spans="1:12" x14ac:dyDescent="0.25">
      <c r="A26" s="29">
        <v>45970.394962280086</v>
      </c>
      <c r="B26" t="s">
        <v>395</v>
      </c>
      <c r="C26" t="s">
        <v>37</v>
      </c>
      <c r="D26" s="38">
        <v>1494.7256637168141</v>
      </c>
      <c r="E26" s="39">
        <f t="shared" si="4"/>
        <v>194.31433628318584</v>
      </c>
      <c r="F26" s="39">
        <f t="shared" si="5"/>
        <v>1689.04</v>
      </c>
      <c r="G26" s="40" t="s">
        <v>392</v>
      </c>
      <c r="H26" s="39">
        <f t="shared" si="6"/>
        <v>194.31433628318584</v>
      </c>
      <c r="I26" t="s">
        <v>393</v>
      </c>
      <c r="J26" t="s">
        <v>394</v>
      </c>
      <c r="K26">
        <v>10</v>
      </c>
    </row>
    <row r="27" spans="1:12" x14ac:dyDescent="0.25">
      <c r="A27" s="29">
        <v>45970.394962280086</v>
      </c>
      <c r="B27" t="s">
        <v>396</v>
      </c>
      <c r="C27" t="s">
        <v>38</v>
      </c>
      <c r="D27" s="38">
        <v>673.49557522123894</v>
      </c>
      <c r="E27" s="39">
        <f t="shared" si="4"/>
        <v>87.55442477876106</v>
      </c>
      <c r="F27" s="39">
        <f t="shared" si="5"/>
        <v>761.05</v>
      </c>
      <c r="G27" s="40" t="s">
        <v>392</v>
      </c>
      <c r="H27" s="39">
        <f t="shared" si="6"/>
        <v>87.55442477876106</v>
      </c>
      <c r="I27" t="s">
        <v>393</v>
      </c>
      <c r="J27" t="s">
        <v>394</v>
      </c>
      <c r="K27">
        <v>11</v>
      </c>
    </row>
    <row r="28" spans="1:12" x14ac:dyDescent="0.25">
      <c r="A28" s="29">
        <v>45970.394962280086</v>
      </c>
      <c r="B28" t="s">
        <v>397</v>
      </c>
      <c r="C28" t="s">
        <v>39</v>
      </c>
      <c r="D28" s="38">
        <v>612</v>
      </c>
      <c r="E28" s="39">
        <f t="shared" si="4"/>
        <v>79.56</v>
      </c>
      <c r="F28" s="39">
        <f t="shared" si="5"/>
        <v>691.56</v>
      </c>
      <c r="G28" s="40" t="s">
        <v>392</v>
      </c>
      <c r="H28" s="39">
        <f t="shared" si="6"/>
        <v>79.56</v>
      </c>
      <c r="I28" t="s">
        <v>393</v>
      </c>
      <c r="J28" t="s">
        <v>394</v>
      </c>
      <c r="K28">
        <v>12</v>
      </c>
    </row>
    <row r="29" spans="1:12" x14ac:dyDescent="0.25">
      <c r="A29" s="29">
        <v>45970.394962280086</v>
      </c>
      <c r="B29" t="s">
        <v>398</v>
      </c>
      <c r="C29" t="s">
        <v>40</v>
      </c>
      <c r="D29" s="38">
        <v>608.2035398230089</v>
      </c>
      <c r="E29" s="39">
        <f t="shared" si="4"/>
        <v>79.066460176991157</v>
      </c>
      <c r="F29" s="39">
        <f t="shared" si="5"/>
        <v>687.2700000000001</v>
      </c>
      <c r="G29" s="40" t="s">
        <v>392</v>
      </c>
      <c r="H29" s="39">
        <f t="shared" si="6"/>
        <v>79.066460176991157</v>
      </c>
      <c r="I29" t="s">
        <v>393</v>
      </c>
      <c r="J29" t="s">
        <v>394</v>
      </c>
      <c r="K29">
        <v>13</v>
      </c>
    </row>
    <row r="30" spans="1:12" x14ac:dyDescent="0.25">
      <c r="A30" s="29">
        <v>45970.394962280086</v>
      </c>
      <c r="B30" t="s">
        <v>399</v>
      </c>
      <c r="C30" t="s">
        <v>41</v>
      </c>
      <c r="D30" s="38">
        <v>608.00884955752213</v>
      </c>
      <c r="E30" s="39">
        <f t="shared" si="4"/>
        <v>79.041150442477885</v>
      </c>
      <c r="F30" s="39">
        <f t="shared" si="5"/>
        <v>687.05</v>
      </c>
      <c r="G30" s="40" t="s">
        <v>392</v>
      </c>
      <c r="H30" s="39">
        <f t="shared" si="6"/>
        <v>79.041150442477885</v>
      </c>
      <c r="I30" t="s">
        <v>393</v>
      </c>
      <c r="J30" t="s">
        <v>394</v>
      </c>
      <c r="K30">
        <v>14</v>
      </c>
    </row>
    <row r="31" spans="1:12" x14ac:dyDescent="0.25">
      <c r="A31" s="29">
        <v>45970.394962280086</v>
      </c>
      <c r="B31" t="s">
        <v>400</v>
      </c>
      <c r="C31" t="s">
        <v>42</v>
      </c>
      <c r="D31" s="38">
        <v>437.61061946902657</v>
      </c>
      <c r="E31" s="39">
        <f t="shared" si="4"/>
        <v>56.889380530973455</v>
      </c>
      <c r="F31" s="39">
        <f t="shared" si="5"/>
        <v>494.5</v>
      </c>
      <c r="G31" s="40" t="s">
        <v>392</v>
      </c>
      <c r="H31" s="39">
        <f t="shared" si="6"/>
        <v>56.889380530973455</v>
      </c>
      <c r="I31" t="s">
        <v>393</v>
      </c>
      <c r="J31" t="s">
        <v>394</v>
      </c>
      <c r="K31">
        <v>15</v>
      </c>
    </row>
    <row r="32" spans="1:12" x14ac:dyDescent="0.25">
      <c r="A32" s="29">
        <v>45970.394962280086</v>
      </c>
      <c r="B32" t="s">
        <v>401</v>
      </c>
      <c r="C32" t="s">
        <v>43</v>
      </c>
      <c r="D32" s="38">
        <v>389.03539823008862</v>
      </c>
      <c r="E32" s="39">
        <f t="shared" si="4"/>
        <v>50.574601769911524</v>
      </c>
      <c r="F32" s="39">
        <f t="shared" si="5"/>
        <v>439.61000000000013</v>
      </c>
      <c r="G32" s="40" t="s">
        <v>392</v>
      </c>
      <c r="H32" s="39">
        <f t="shared" si="6"/>
        <v>50.574601769911524</v>
      </c>
      <c r="I32" t="s">
        <v>393</v>
      </c>
      <c r="J32" t="s">
        <v>394</v>
      </c>
      <c r="K32">
        <v>16</v>
      </c>
    </row>
    <row r="33" spans="1:11" x14ac:dyDescent="0.25">
      <c r="A33" s="29">
        <v>45970.394962280086</v>
      </c>
      <c r="B33" t="s">
        <v>402</v>
      </c>
      <c r="C33" t="s">
        <v>44</v>
      </c>
      <c r="D33" s="38">
        <v>334.8230088495576</v>
      </c>
      <c r="E33" s="39">
        <f t="shared" si="4"/>
        <v>43.526991150442491</v>
      </c>
      <c r="F33" s="39">
        <f t="shared" si="5"/>
        <v>378.35000000000008</v>
      </c>
      <c r="G33" s="40" t="s">
        <v>392</v>
      </c>
      <c r="H33" s="39">
        <f t="shared" si="6"/>
        <v>43.526991150442491</v>
      </c>
      <c r="I33" t="s">
        <v>393</v>
      </c>
      <c r="J33" t="s">
        <v>394</v>
      </c>
      <c r="K33">
        <v>17</v>
      </c>
    </row>
    <row r="34" spans="1:11" x14ac:dyDescent="0.25">
      <c r="A34" s="29">
        <v>45970.394962280086</v>
      </c>
      <c r="B34" t="s">
        <v>403</v>
      </c>
      <c r="C34" t="s">
        <v>45</v>
      </c>
      <c r="D34" s="38">
        <v>295.50442477876112</v>
      </c>
      <c r="E34" s="39">
        <f t="shared" si="4"/>
        <v>38.415575221238946</v>
      </c>
      <c r="F34" s="39">
        <f t="shared" si="5"/>
        <v>333.92000000000007</v>
      </c>
      <c r="G34" s="40" t="s">
        <v>392</v>
      </c>
      <c r="H34" s="39">
        <f t="shared" si="6"/>
        <v>38.415575221238946</v>
      </c>
      <c r="I34" t="s">
        <v>393</v>
      </c>
      <c r="J34" t="s">
        <v>394</v>
      </c>
      <c r="K34">
        <v>18</v>
      </c>
    </row>
    <row r="35" spans="1:11" x14ac:dyDescent="0.25">
      <c r="A35" s="29">
        <v>45970.394962280086</v>
      </c>
      <c r="B35" t="s">
        <v>404</v>
      </c>
      <c r="C35" t="s">
        <v>46</v>
      </c>
      <c r="D35" s="38">
        <v>295.00000000000011</v>
      </c>
      <c r="E35" s="39">
        <f t="shared" si="4"/>
        <v>38.350000000000016</v>
      </c>
      <c r="F35" s="39">
        <f t="shared" si="5"/>
        <v>333.35000000000014</v>
      </c>
      <c r="G35" s="40" t="s">
        <v>392</v>
      </c>
      <c r="H35" s="39">
        <f t="shared" si="6"/>
        <v>38.350000000000016</v>
      </c>
      <c r="I35" t="s">
        <v>393</v>
      </c>
      <c r="J35" t="s">
        <v>394</v>
      </c>
      <c r="K35">
        <v>19</v>
      </c>
    </row>
    <row r="36" spans="1:11" x14ac:dyDescent="0.25">
      <c r="A36" s="29">
        <v>45970.394962280086</v>
      </c>
      <c r="B36" t="s">
        <v>405</v>
      </c>
      <c r="C36" t="s">
        <v>47</v>
      </c>
      <c r="D36" s="38">
        <v>250</v>
      </c>
      <c r="E36" s="39">
        <f t="shared" si="4"/>
        <v>32.5</v>
      </c>
      <c r="F36" s="39">
        <f t="shared" si="5"/>
        <v>282.5</v>
      </c>
      <c r="G36" s="40" t="s">
        <v>392</v>
      </c>
      <c r="H36" s="39">
        <f t="shared" si="6"/>
        <v>32.5</v>
      </c>
      <c r="I36" t="s">
        <v>393</v>
      </c>
      <c r="J36" t="s">
        <v>394</v>
      </c>
      <c r="K36">
        <v>20</v>
      </c>
    </row>
    <row r="37" spans="1:11" x14ac:dyDescent="0.25">
      <c r="A37" s="29">
        <v>45970.394962280086</v>
      </c>
      <c r="B37" t="s">
        <v>406</v>
      </c>
      <c r="C37" t="s">
        <v>48</v>
      </c>
      <c r="D37" s="38">
        <v>245.00000000000011</v>
      </c>
      <c r="E37" s="39">
        <f t="shared" si="4"/>
        <v>31.850000000000016</v>
      </c>
      <c r="F37" s="39">
        <f t="shared" si="5"/>
        <v>276.85000000000014</v>
      </c>
      <c r="G37" s="40" t="s">
        <v>392</v>
      </c>
      <c r="H37" s="39">
        <f t="shared" si="6"/>
        <v>31.850000000000016</v>
      </c>
      <c r="I37" t="s">
        <v>393</v>
      </c>
      <c r="J37" t="s">
        <v>394</v>
      </c>
      <c r="K37">
        <v>21</v>
      </c>
    </row>
    <row r="38" spans="1:11" x14ac:dyDescent="0.25">
      <c r="A38" s="29">
        <v>45970.394962280086</v>
      </c>
      <c r="B38" t="s">
        <v>407</v>
      </c>
      <c r="C38" t="s">
        <v>49</v>
      </c>
      <c r="D38" s="38">
        <v>185.00884955752221</v>
      </c>
      <c r="E38" s="39">
        <f t="shared" si="4"/>
        <v>24.051150442477887</v>
      </c>
      <c r="F38" s="39">
        <f t="shared" si="5"/>
        <v>209.06000000000009</v>
      </c>
      <c r="G38" s="40" t="s">
        <v>392</v>
      </c>
      <c r="H38" s="39">
        <f t="shared" si="6"/>
        <v>24.051150442477887</v>
      </c>
      <c r="I38" t="s">
        <v>393</v>
      </c>
      <c r="J38" t="s">
        <v>394</v>
      </c>
      <c r="K38">
        <v>22</v>
      </c>
    </row>
    <row r="39" spans="1:11" x14ac:dyDescent="0.25">
      <c r="A39" s="29">
        <v>45970.394962280086</v>
      </c>
      <c r="B39" t="s">
        <v>408</v>
      </c>
      <c r="C39" t="s">
        <v>50</v>
      </c>
      <c r="D39" s="38">
        <v>162.50442477876109</v>
      </c>
      <c r="E39" s="39">
        <f t="shared" si="4"/>
        <v>21.125575221238943</v>
      </c>
      <c r="F39" s="39">
        <f t="shared" si="5"/>
        <v>183.63000000000002</v>
      </c>
      <c r="G39" s="40" t="s">
        <v>392</v>
      </c>
      <c r="H39" s="39">
        <f t="shared" si="6"/>
        <v>21.125575221238943</v>
      </c>
      <c r="I39" t="s">
        <v>393</v>
      </c>
      <c r="J39" t="s">
        <v>394</v>
      </c>
      <c r="K39">
        <v>23</v>
      </c>
    </row>
    <row r="40" spans="1:11" x14ac:dyDescent="0.25">
      <c r="A40" s="29">
        <v>45970.394962280086</v>
      </c>
      <c r="B40" t="s">
        <v>409</v>
      </c>
      <c r="C40" t="s">
        <v>51</v>
      </c>
      <c r="D40" s="38">
        <v>150</v>
      </c>
      <c r="E40" s="39">
        <f t="shared" si="4"/>
        <v>19.5</v>
      </c>
      <c r="F40" s="39">
        <f t="shared" si="5"/>
        <v>169.5</v>
      </c>
      <c r="G40" s="40" t="s">
        <v>392</v>
      </c>
      <c r="H40" s="39">
        <f t="shared" si="6"/>
        <v>19.5</v>
      </c>
      <c r="I40" t="s">
        <v>393</v>
      </c>
      <c r="J40" t="s">
        <v>394</v>
      </c>
      <c r="K40">
        <v>24</v>
      </c>
    </row>
    <row r="41" spans="1:11" x14ac:dyDescent="0.25">
      <c r="A41" s="35" t="s">
        <v>410</v>
      </c>
      <c r="D41" s="36">
        <f>SUM(D25:D40)</f>
        <v>9218.7964601769927</v>
      </c>
      <c r="E41" s="36">
        <f>SUM(E25:E40)</f>
        <v>1198.4435398230089</v>
      </c>
      <c r="H41" s="42">
        <f>SUM(H25:H40)</f>
        <v>1198.4435398230089</v>
      </c>
    </row>
    <row r="43" spans="1:11" ht="15.75" x14ac:dyDescent="0.25">
      <c r="A43" s="73" t="s">
        <v>411</v>
      </c>
      <c r="B43" s="63"/>
      <c r="C43" s="63"/>
      <c r="D43" s="63"/>
      <c r="E43" s="63"/>
    </row>
    <row r="44" spans="1:11" x14ac:dyDescent="0.25">
      <c r="A44" s="35" t="s">
        <v>412</v>
      </c>
      <c r="B44" s="43">
        <f>E21</f>
        <v>900.44890000000009</v>
      </c>
    </row>
    <row r="45" spans="1:11" x14ac:dyDescent="0.25">
      <c r="A45" s="35" t="s">
        <v>413</v>
      </c>
      <c r="B45" s="44">
        <f>H41</f>
        <v>1198.4435398230089</v>
      </c>
    </row>
    <row r="46" spans="1:11" ht="15.75" x14ac:dyDescent="0.25">
      <c r="A46" s="45" t="s">
        <v>414</v>
      </c>
      <c r="B46" s="46">
        <f>B44-B45</f>
        <v>-297.99463982300881</v>
      </c>
    </row>
    <row r="47" spans="1:11" x14ac:dyDescent="0.25">
      <c r="A47" t="s">
        <v>415</v>
      </c>
      <c r="B47" s="47" t="s">
        <v>416</v>
      </c>
    </row>
    <row r="49" spans="1:1" x14ac:dyDescent="0.25">
      <c r="A49" s="35" t="s">
        <v>417</v>
      </c>
    </row>
    <row r="50" spans="1:1" x14ac:dyDescent="0.25">
      <c r="A50" t="s">
        <v>418</v>
      </c>
    </row>
    <row r="51" spans="1:1" x14ac:dyDescent="0.25">
      <c r="A51" t="s">
        <v>419</v>
      </c>
    </row>
    <row r="52" spans="1:1" x14ac:dyDescent="0.25">
      <c r="A52" t="s">
        <v>420</v>
      </c>
    </row>
    <row r="53" spans="1:1" x14ac:dyDescent="0.25">
      <c r="A53" t="s">
        <v>421</v>
      </c>
    </row>
  </sheetData>
  <mergeCells count="5">
    <mergeCell ref="A2:L2"/>
    <mergeCell ref="A43:E43"/>
    <mergeCell ref="A1:L1"/>
    <mergeCell ref="A23:L23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"/>
  <sheetViews>
    <sheetView workbookViewId="0"/>
  </sheetViews>
  <sheetFormatPr defaultRowHeight="15" x14ac:dyDescent="0.25"/>
  <cols>
    <col min="1" max="1" width="35" customWidth="1"/>
    <col min="2" max="4" width="12" customWidth="1"/>
    <col min="5" max="5" width="10" customWidth="1"/>
    <col min="6" max="9" width="12" customWidth="1"/>
    <col min="10" max="10" width="30" customWidth="1"/>
  </cols>
  <sheetData>
    <row r="1" spans="1:10" ht="18.75" x14ac:dyDescent="0.3">
      <c r="A1" s="74" t="s">
        <v>422</v>
      </c>
      <c r="B1" s="63"/>
      <c r="C1" s="63"/>
      <c r="D1" s="63"/>
      <c r="E1" s="63"/>
      <c r="F1" s="63"/>
      <c r="G1" s="63"/>
      <c r="H1" s="63"/>
      <c r="I1" s="63"/>
      <c r="J1" s="63"/>
    </row>
    <row r="2" spans="1:10" x14ac:dyDescent="0.25">
      <c r="A2" s="33" t="s">
        <v>249</v>
      </c>
      <c r="B2" s="33" t="s">
        <v>363</v>
      </c>
      <c r="C2" s="33" t="s">
        <v>423</v>
      </c>
      <c r="D2" s="33" t="s">
        <v>424</v>
      </c>
      <c r="E2" s="33" t="s">
        <v>425</v>
      </c>
      <c r="F2" s="33" t="s">
        <v>8</v>
      </c>
      <c r="G2" s="33" t="s">
        <v>199</v>
      </c>
      <c r="H2" s="33" t="s">
        <v>426</v>
      </c>
      <c r="I2" s="33" t="s">
        <v>11</v>
      </c>
      <c r="J2" s="33" t="s">
        <v>14</v>
      </c>
    </row>
    <row r="3" spans="1:10" x14ac:dyDescent="0.25">
      <c r="A3" t="s">
        <v>250</v>
      </c>
      <c r="B3" t="s">
        <v>427</v>
      </c>
      <c r="C3" s="29">
        <v>45962</v>
      </c>
      <c r="D3" s="29">
        <v>45992</v>
      </c>
      <c r="E3">
        <v>30</v>
      </c>
      <c r="F3" s="23">
        <v>1689.04</v>
      </c>
      <c r="G3" s="23">
        <v>1689.04</v>
      </c>
      <c r="H3" s="34">
        <f t="shared" ref="H3:H20" ca="1" si="0">IF(D3&lt;TODAY(), TODAY()-D3, 0)</f>
        <v>0</v>
      </c>
      <c r="I3" t="str">
        <f t="shared" ref="I3:I20" ca="1" si="1">IF(H3=0, "AL DÍA", IF(H3&lt;=30, "VENCIDA", "CRÍTICA"))</f>
        <v>AL DÍA</v>
      </c>
    </row>
    <row r="4" spans="1:10" x14ac:dyDescent="0.25">
      <c r="A4" t="s">
        <v>256</v>
      </c>
      <c r="B4" t="s">
        <v>428</v>
      </c>
      <c r="C4" s="29">
        <v>45962</v>
      </c>
      <c r="D4" s="29">
        <v>45992</v>
      </c>
      <c r="E4">
        <v>30</v>
      </c>
      <c r="F4" s="23">
        <v>3567.08</v>
      </c>
      <c r="G4" s="23">
        <v>3567.08</v>
      </c>
      <c r="H4" s="34">
        <f t="shared" ca="1" si="0"/>
        <v>0</v>
      </c>
      <c r="I4" t="str">
        <f t="shared" ca="1" si="1"/>
        <v>AL DÍA</v>
      </c>
    </row>
    <row r="5" spans="1:10" x14ac:dyDescent="0.25">
      <c r="A5" t="s">
        <v>263</v>
      </c>
      <c r="B5" t="s">
        <v>429</v>
      </c>
      <c r="C5" s="29">
        <v>45962</v>
      </c>
      <c r="D5" s="29">
        <v>45992</v>
      </c>
      <c r="E5">
        <v>30</v>
      </c>
      <c r="F5" s="23">
        <v>691.56</v>
      </c>
      <c r="G5" s="23">
        <v>691.56</v>
      </c>
      <c r="H5" s="34">
        <f t="shared" ca="1" si="0"/>
        <v>0</v>
      </c>
      <c r="I5" t="str">
        <f t="shared" ca="1" si="1"/>
        <v>AL DÍA</v>
      </c>
    </row>
    <row r="6" spans="1:10" x14ac:dyDescent="0.25">
      <c r="A6" t="s">
        <v>269</v>
      </c>
      <c r="B6" t="s">
        <v>430</v>
      </c>
      <c r="C6" s="29">
        <v>45962</v>
      </c>
      <c r="D6" s="29">
        <v>45992</v>
      </c>
      <c r="E6">
        <v>30</v>
      </c>
      <c r="F6" s="23">
        <v>687.05</v>
      </c>
      <c r="G6" s="23">
        <v>687.05</v>
      </c>
      <c r="H6" s="34">
        <f t="shared" ca="1" si="0"/>
        <v>0</v>
      </c>
      <c r="I6" t="str">
        <f t="shared" ca="1" si="1"/>
        <v>AL DÍA</v>
      </c>
    </row>
    <row r="7" spans="1:10" x14ac:dyDescent="0.25">
      <c r="A7" t="s">
        <v>272</v>
      </c>
      <c r="B7" t="s">
        <v>431</v>
      </c>
      <c r="C7" s="29">
        <v>45962</v>
      </c>
      <c r="D7" s="29">
        <v>45992</v>
      </c>
      <c r="E7">
        <v>30</v>
      </c>
      <c r="F7" s="23">
        <v>494.5</v>
      </c>
      <c r="G7" s="23">
        <v>494.5</v>
      </c>
      <c r="H7" s="34">
        <f t="shared" ca="1" si="0"/>
        <v>0</v>
      </c>
      <c r="I7" t="str">
        <f t="shared" ca="1" si="1"/>
        <v>AL DÍA</v>
      </c>
    </row>
    <row r="8" spans="1:10" x14ac:dyDescent="0.25">
      <c r="A8" t="s">
        <v>275</v>
      </c>
      <c r="B8" t="s">
        <v>432</v>
      </c>
      <c r="C8" s="29">
        <v>45962</v>
      </c>
      <c r="D8" s="29">
        <v>45992</v>
      </c>
      <c r="E8">
        <v>30</v>
      </c>
      <c r="F8" s="23">
        <v>439.61</v>
      </c>
      <c r="G8" s="23">
        <v>439.61</v>
      </c>
      <c r="H8" s="34">
        <f t="shared" ca="1" si="0"/>
        <v>0</v>
      </c>
      <c r="I8" t="str">
        <f t="shared" ca="1" si="1"/>
        <v>AL DÍA</v>
      </c>
    </row>
    <row r="9" spans="1:10" x14ac:dyDescent="0.25">
      <c r="A9" t="s">
        <v>279</v>
      </c>
      <c r="B9" t="s">
        <v>433</v>
      </c>
      <c r="C9" s="29">
        <v>45962</v>
      </c>
      <c r="D9" s="29">
        <v>45992</v>
      </c>
      <c r="E9">
        <v>30</v>
      </c>
      <c r="F9" s="23">
        <v>378.35</v>
      </c>
      <c r="G9" s="23">
        <v>378.35</v>
      </c>
      <c r="H9" s="34">
        <f t="shared" ca="1" si="0"/>
        <v>0</v>
      </c>
      <c r="I9" t="str">
        <f t="shared" ca="1" si="1"/>
        <v>AL DÍA</v>
      </c>
    </row>
    <row r="10" spans="1:10" x14ac:dyDescent="0.25">
      <c r="A10" t="s">
        <v>281</v>
      </c>
      <c r="B10" t="s">
        <v>434</v>
      </c>
      <c r="C10" s="29">
        <v>45962</v>
      </c>
      <c r="D10" s="29">
        <v>45992</v>
      </c>
      <c r="E10">
        <v>30</v>
      </c>
      <c r="F10" s="23">
        <v>333.92</v>
      </c>
      <c r="G10" s="23">
        <v>333.92</v>
      </c>
      <c r="H10" s="34">
        <f t="shared" ca="1" si="0"/>
        <v>0</v>
      </c>
      <c r="I10" t="str">
        <f t="shared" ca="1" si="1"/>
        <v>AL DÍA</v>
      </c>
    </row>
    <row r="11" spans="1:10" x14ac:dyDescent="0.25">
      <c r="A11" t="s">
        <v>286</v>
      </c>
      <c r="B11" t="s">
        <v>435</v>
      </c>
      <c r="C11" s="29">
        <v>45962</v>
      </c>
      <c r="D11" s="29">
        <v>45992</v>
      </c>
      <c r="E11">
        <v>30</v>
      </c>
      <c r="F11" s="23">
        <v>282.5</v>
      </c>
      <c r="G11" s="23">
        <v>282.5</v>
      </c>
      <c r="H11" s="34">
        <f t="shared" ca="1" si="0"/>
        <v>0</v>
      </c>
      <c r="I11" t="str">
        <f t="shared" ca="1" si="1"/>
        <v>AL DÍA</v>
      </c>
    </row>
    <row r="12" spans="1:10" x14ac:dyDescent="0.25">
      <c r="A12" t="s">
        <v>289</v>
      </c>
      <c r="B12" t="s">
        <v>436</v>
      </c>
      <c r="C12" s="29">
        <v>45962</v>
      </c>
      <c r="D12" s="29">
        <v>45992</v>
      </c>
      <c r="E12">
        <v>30</v>
      </c>
      <c r="F12" s="23">
        <v>276.85000000000002</v>
      </c>
      <c r="G12" s="23">
        <v>276.85000000000002</v>
      </c>
      <c r="H12" s="34">
        <f t="shared" ca="1" si="0"/>
        <v>0</v>
      </c>
      <c r="I12" t="str">
        <f t="shared" ca="1" si="1"/>
        <v>AL DÍA</v>
      </c>
    </row>
    <row r="13" spans="1:10" x14ac:dyDescent="0.25">
      <c r="A13" t="s">
        <v>293</v>
      </c>
      <c r="B13" t="s">
        <v>437</v>
      </c>
      <c r="C13" s="29">
        <v>45962</v>
      </c>
      <c r="D13" s="29">
        <v>45992</v>
      </c>
      <c r="E13">
        <v>30</v>
      </c>
      <c r="F13" s="23">
        <v>209.06</v>
      </c>
      <c r="G13" s="23">
        <v>209.06</v>
      </c>
      <c r="H13" s="34">
        <f t="shared" ca="1" si="0"/>
        <v>0</v>
      </c>
      <c r="I13" t="str">
        <f t="shared" ca="1" si="1"/>
        <v>AL DÍA</v>
      </c>
    </row>
    <row r="14" spans="1:10" x14ac:dyDescent="0.25">
      <c r="A14" t="s">
        <v>300</v>
      </c>
      <c r="B14" t="s">
        <v>438</v>
      </c>
      <c r="C14" s="29">
        <v>45962</v>
      </c>
      <c r="D14" s="29">
        <v>45992</v>
      </c>
      <c r="E14">
        <v>30</v>
      </c>
      <c r="F14" s="23">
        <v>169.5</v>
      </c>
      <c r="G14" s="23">
        <v>169.5</v>
      </c>
      <c r="H14" s="34">
        <f t="shared" ca="1" si="0"/>
        <v>0</v>
      </c>
      <c r="I14" t="str">
        <f t="shared" ca="1" si="1"/>
        <v>AL DÍA</v>
      </c>
    </row>
    <row r="15" spans="1:10" x14ac:dyDescent="0.25">
      <c r="A15" t="s">
        <v>303</v>
      </c>
      <c r="B15" t="s">
        <v>439</v>
      </c>
      <c r="C15" s="29">
        <v>45962</v>
      </c>
      <c r="D15" s="29">
        <v>45992</v>
      </c>
      <c r="E15">
        <v>30</v>
      </c>
      <c r="F15" s="23">
        <v>113</v>
      </c>
      <c r="G15" s="23">
        <v>113</v>
      </c>
      <c r="H15" s="34">
        <f t="shared" ca="1" si="0"/>
        <v>0</v>
      </c>
      <c r="I15" t="str">
        <f t="shared" ca="1" si="1"/>
        <v>AL DÍA</v>
      </c>
    </row>
    <row r="16" spans="1:10" x14ac:dyDescent="0.25">
      <c r="A16" t="s">
        <v>306</v>
      </c>
      <c r="B16" t="s">
        <v>440</v>
      </c>
      <c r="C16" s="29">
        <v>45962</v>
      </c>
      <c r="D16" s="29">
        <v>45992</v>
      </c>
      <c r="E16">
        <v>30</v>
      </c>
      <c r="F16" s="23">
        <v>113</v>
      </c>
      <c r="G16" s="23">
        <v>113</v>
      </c>
      <c r="H16" s="34">
        <f t="shared" ca="1" si="0"/>
        <v>0</v>
      </c>
      <c r="I16" t="str">
        <f t="shared" ca="1" si="1"/>
        <v>AL DÍA</v>
      </c>
    </row>
    <row r="17" spans="1:9" x14ac:dyDescent="0.25">
      <c r="A17" t="s">
        <v>308</v>
      </c>
      <c r="B17" t="s">
        <v>441</v>
      </c>
      <c r="C17" s="29">
        <v>45962</v>
      </c>
      <c r="D17" s="29">
        <v>45992</v>
      </c>
      <c r="E17">
        <v>30</v>
      </c>
      <c r="F17" s="23">
        <v>67.8</v>
      </c>
      <c r="G17" s="23">
        <v>67.8</v>
      </c>
      <c r="H17" s="34">
        <f t="shared" ca="1" si="0"/>
        <v>0</v>
      </c>
      <c r="I17" t="str">
        <f t="shared" ca="1" si="1"/>
        <v>AL DÍA</v>
      </c>
    </row>
    <row r="18" spans="1:9" x14ac:dyDescent="0.25">
      <c r="A18" t="s">
        <v>312</v>
      </c>
      <c r="B18" t="s">
        <v>442</v>
      </c>
      <c r="C18" s="29">
        <v>45962</v>
      </c>
      <c r="D18" s="29">
        <v>45992</v>
      </c>
      <c r="E18">
        <v>30</v>
      </c>
      <c r="F18" s="23">
        <v>56.5</v>
      </c>
      <c r="G18" s="23">
        <v>56.5</v>
      </c>
      <c r="H18" s="34">
        <f t="shared" ca="1" si="0"/>
        <v>0</v>
      </c>
      <c r="I18" t="str">
        <f t="shared" ca="1" si="1"/>
        <v>AL DÍA</v>
      </c>
    </row>
    <row r="19" spans="1:9" x14ac:dyDescent="0.25">
      <c r="A19" t="s">
        <v>316</v>
      </c>
      <c r="B19" t="s">
        <v>443</v>
      </c>
      <c r="C19" s="29">
        <v>45962</v>
      </c>
      <c r="D19" s="29">
        <v>45992</v>
      </c>
      <c r="E19">
        <v>30</v>
      </c>
      <c r="F19" s="23">
        <v>56.5</v>
      </c>
      <c r="G19" s="23">
        <v>56.5</v>
      </c>
      <c r="H19" s="34">
        <f t="shared" ca="1" si="0"/>
        <v>0</v>
      </c>
      <c r="I19" t="str">
        <f t="shared" ca="1" si="1"/>
        <v>AL DÍA</v>
      </c>
    </row>
    <row r="20" spans="1:9" x14ac:dyDescent="0.25">
      <c r="A20" t="s">
        <v>318</v>
      </c>
      <c r="B20" t="s">
        <v>444</v>
      </c>
      <c r="C20" s="29">
        <v>45962</v>
      </c>
      <c r="D20" s="29">
        <v>45992</v>
      </c>
      <c r="E20">
        <v>30</v>
      </c>
      <c r="F20" s="23">
        <v>42.38</v>
      </c>
      <c r="G20" s="23">
        <v>42.38</v>
      </c>
      <c r="H20" s="34">
        <f t="shared" ca="1" si="0"/>
        <v>0</v>
      </c>
      <c r="I20" t="str">
        <f t="shared" ca="1" si="1"/>
        <v>AL DÍA</v>
      </c>
    </row>
    <row r="21" spans="1:9" x14ac:dyDescent="0.25">
      <c r="A21" s="35" t="s">
        <v>445</v>
      </c>
      <c r="F21" s="36">
        <f>SUM(F3:F20)</f>
        <v>9668.1999999999989</v>
      </c>
      <c r="G21" s="36">
        <f>SUM(G3:G20)</f>
        <v>9668.1999999999989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7"/>
  <sheetViews>
    <sheetView workbookViewId="0"/>
  </sheetViews>
  <sheetFormatPr defaultRowHeight="15" x14ac:dyDescent="0.25"/>
  <cols>
    <col min="1" max="1" width="30" customWidth="1"/>
    <col min="2" max="2" width="15" customWidth="1"/>
    <col min="3" max="9" width="12" customWidth="1"/>
    <col min="10" max="10" width="30" customWidth="1"/>
  </cols>
  <sheetData>
    <row r="1" spans="1:10" ht="18.75" x14ac:dyDescent="0.3">
      <c r="A1" s="75" t="s">
        <v>446</v>
      </c>
      <c r="B1" s="63"/>
      <c r="C1" s="63"/>
      <c r="D1" s="63"/>
      <c r="E1" s="63"/>
      <c r="F1" s="63"/>
      <c r="G1" s="63"/>
      <c r="H1" s="63"/>
      <c r="I1" s="63"/>
      <c r="J1" s="63"/>
    </row>
    <row r="2" spans="1:10" x14ac:dyDescent="0.25">
      <c r="A2" s="33" t="s">
        <v>149</v>
      </c>
      <c r="B2" s="33" t="s">
        <v>363</v>
      </c>
      <c r="C2" s="33" t="s">
        <v>423</v>
      </c>
      <c r="D2" s="33" t="s">
        <v>424</v>
      </c>
      <c r="E2" s="33" t="s">
        <v>8</v>
      </c>
      <c r="F2" s="33" t="s">
        <v>199</v>
      </c>
      <c r="G2" s="33" t="s">
        <v>426</v>
      </c>
      <c r="H2" s="33" t="s">
        <v>447</v>
      </c>
      <c r="I2" s="33" t="s">
        <v>11</v>
      </c>
      <c r="J2" s="33" t="s">
        <v>14</v>
      </c>
    </row>
    <row r="3" spans="1:10" x14ac:dyDescent="0.25">
      <c r="A3" t="s">
        <v>88</v>
      </c>
      <c r="B3" t="s">
        <v>448</v>
      </c>
      <c r="C3" s="29">
        <v>45964</v>
      </c>
      <c r="D3" s="29">
        <v>45994</v>
      </c>
      <c r="E3" s="23">
        <v>2317.09</v>
      </c>
      <c r="F3" s="23">
        <v>2317.09</v>
      </c>
      <c r="G3" s="34">
        <f t="shared" ref="G3:G14" ca="1" si="0">IF(D3&lt;TODAY(), TODAY()-D3, 0)</f>
        <v>0</v>
      </c>
      <c r="H3" t="s">
        <v>449</v>
      </c>
      <c r="I3" t="str">
        <f t="shared" ref="I3:I14" ca="1" si="1">IF(G3=0, "AL DÍA", IF(G3&lt;=15, "POR VENCER", "VENCIDA"))</f>
        <v>AL DÍA</v>
      </c>
    </row>
    <row r="4" spans="1:10" x14ac:dyDescent="0.25">
      <c r="A4" t="s">
        <v>88</v>
      </c>
      <c r="B4" t="s">
        <v>450</v>
      </c>
      <c r="C4" s="29">
        <v>45965</v>
      </c>
      <c r="D4" s="29">
        <v>45995</v>
      </c>
      <c r="E4" s="23">
        <v>679.12</v>
      </c>
      <c r="F4" s="23">
        <v>679.12</v>
      </c>
      <c r="G4" s="34">
        <f t="shared" ca="1" si="0"/>
        <v>0</v>
      </c>
      <c r="H4" t="s">
        <v>449</v>
      </c>
      <c r="I4" t="str">
        <f t="shared" ca="1" si="1"/>
        <v>AL DÍA</v>
      </c>
    </row>
    <row r="5" spans="1:10" x14ac:dyDescent="0.25">
      <c r="A5" t="s">
        <v>88</v>
      </c>
      <c r="B5" t="s">
        <v>451</v>
      </c>
      <c r="C5" s="29">
        <v>45971</v>
      </c>
      <c r="D5" s="29">
        <v>46001</v>
      </c>
      <c r="E5" s="23">
        <v>565.34</v>
      </c>
      <c r="F5" s="23">
        <v>565.34</v>
      </c>
      <c r="G5" s="34">
        <f t="shared" ca="1" si="0"/>
        <v>0</v>
      </c>
      <c r="H5" t="s">
        <v>449</v>
      </c>
      <c r="I5" t="str">
        <f t="shared" ca="1" si="1"/>
        <v>AL DÍA</v>
      </c>
    </row>
    <row r="6" spans="1:10" x14ac:dyDescent="0.25">
      <c r="A6" t="s">
        <v>452</v>
      </c>
      <c r="B6" t="s">
        <v>453</v>
      </c>
      <c r="C6" s="29">
        <v>45976</v>
      </c>
      <c r="D6" s="29">
        <v>46006</v>
      </c>
      <c r="E6" s="23">
        <v>775</v>
      </c>
      <c r="F6" s="23">
        <v>775</v>
      </c>
      <c r="G6" s="34">
        <f t="shared" ca="1" si="0"/>
        <v>0</v>
      </c>
      <c r="H6" t="s">
        <v>454</v>
      </c>
      <c r="I6" t="str">
        <f t="shared" ca="1" si="1"/>
        <v>AL DÍA</v>
      </c>
    </row>
    <row r="7" spans="1:10" x14ac:dyDescent="0.25">
      <c r="A7" t="s">
        <v>455</v>
      </c>
      <c r="B7" t="s">
        <v>456</v>
      </c>
      <c r="C7" s="29">
        <v>45976</v>
      </c>
      <c r="D7" s="29">
        <v>46006</v>
      </c>
      <c r="E7" s="23">
        <v>800</v>
      </c>
      <c r="F7" s="23">
        <v>800</v>
      </c>
      <c r="G7" s="34">
        <f t="shared" ca="1" si="0"/>
        <v>0</v>
      </c>
      <c r="H7" t="s">
        <v>449</v>
      </c>
      <c r="I7" t="str">
        <f t="shared" ca="1" si="1"/>
        <v>AL DÍA</v>
      </c>
    </row>
    <row r="8" spans="1:10" x14ac:dyDescent="0.25">
      <c r="A8" t="s">
        <v>457</v>
      </c>
      <c r="B8" t="s">
        <v>458</v>
      </c>
      <c r="C8" s="29">
        <v>45992</v>
      </c>
      <c r="D8" s="29">
        <v>46022</v>
      </c>
      <c r="E8" s="23">
        <v>10000</v>
      </c>
      <c r="F8" s="23">
        <v>10000</v>
      </c>
      <c r="G8" s="34">
        <f t="shared" ca="1" si="0"/>
        <v>0</v>
      </c>
      <c r="H8" t="s">
        <v>459</v>
      </c>
      <c r="I8" t="str">
        <f t="shared" ca="1" si="1"/>
        <v>AL DÍA</v>
      </c>
    </row>
    <row r="9" spans="1:10" x14ac:dyDescent="0.25">
      <c r="A9" t="s">
        <v>460</v>
      </c>
      <c r="B9" t="s">
        <v>461</v>
      </c>
      <c r="C9" s="29">
        <v>45944</v>
      </c>
      <c r="D9" s="29">
        <v>45974</v>
      </c>
      <c r="E9" s="23">
        <v>14.69</v>
      </c>
      <c r="F9" s="23">
        <v>14.69</v>
      </c>
      <c r="G9" s="34">
        <f t="shared" ca="1" si="0"/>
        <v>0</v>
      </c>
      <c r="H9" t="s">
        <v>462</v>
      </c>
      <c r="I9" t="str">
        <f t="shared" ca="1" si="1"/>
        <v>AL DÍA</v>
      </c>
    </row>
    <row r="10" spans="1:10" x14ac:dyDescent="0.25">
      <c r="A10" t="s">
        <v>460</v>
      </c>
      <c r="B10" t="s">
        <v>463</v>
      </c>
      <c r="C10" s="29">
        <v>45944</v>
      </c>
      <c r="D10" s="29">
        <v>45974</v>
      </c>
      <c r="E10" s="23">
        <v>14.69</v>
      </c>
      <c r="F10" s="23">
        <v>14.69</v>
      </c>
      <c r="G10" s="34">
        <f t="shared" ca="1" si="0"/>
        <v>0</v>
      </c>
      <c r="H10" t="s">
        <v>462</v>
      </c>
      <c r="I10" t="str">
        <f t="shared" ca="1" si="1"/>
        <v>AL DÍA</v>
      </c>
    </row>
    <row r="11" spans="1:10" x14ac:dyDescent="0.25">
      <c r="A11" t="s">
        <v>464</v>
      </c>
      <c r="B11" t="s">
        <v>465</v>
      </c>
      <c r="C11" s="29">
        <v>45944</v>
      </c>
      <c r="D11" s="29">
        <v>45974</v>
      </c>
      <c r="E11" s="23">
        <v>33.9</v>
      </c>
      <c r="F11" s="23">
        <v>33.9</v>
      </c>
      <c r="G11" s="34">
        <f t="shared" ca="1" si="0"/>
        <v>0</v>
      </c>
      <c r="H11" t="s">
        <v>462</v>
      </c>
      <c r="I11" t="str">
        <f t="shared" ca="1" si="1"/>
        <v>AL DÍA</v>
      </c>
    </row>
    <row r="12" spans="1:10" x14ac:dyDescent="0.25">
      <c r="A12" t="s">
        <v>466</v>
      </c>
      <c r="B12" t="s">
        <v>467</v>
      </c>
      <c r="C12" s="29">
        <v>45954</v>
      </c>
      <c r="D12" s="29">
        <v>45984</v>
      </c>
      <c r="E12" s="23">
        <v>284.89999999999998</v>
      </c>
      <c r="F12" s="23">
        <v>284.89999999999998</v>
      </c>
      <c r="G12" s="34">
        <f t="shared" ca="1" si="0"/>
        <v>0</v>
      </c>
      <c r="H12" t="s">
        <v>462</v>
      </c>
      <c r="I12" t="str">
        <f t="shared" ca="1" si="1"/>
        <v>AL DÍA</v>
      </c>
    </row>
    <row r="13" spans="1:10" x14ac:dyDescent="0.25">
      <c r="A13" t="s">
        <v>468</v>
      </c>
      <c r="B13" t="s">
        <v>469</v>
      </c>
      <c r="C13" s="29">
        <v>45950</v>
      </c>
      <c r="D13" s="29">
        <v>45980</v>
      </c>
      <c r="E13" s="23">
        <v>16.920000000000002</v>
      </c>
      <c r="F13" s="23">
        <v>16.920000000000002</v>
      </c>
      <c r="G13" s="34">
        <f t="shared" ca="1" si="0"/>
        <v>0</v>
      </c>
      <c r="H13" t="s">
        <v>462</v>
      </c>
      <c r="I13" t="str">
        <f t="shared" ca="1" si="1"/>
        <v>AL DÍA</v>
      </c>
    </row>
    <row r="14" spans="1:10" x14ac:dyDescent="0.25">
      <c r="A14" t="s">
        <v>468</v>
      </c>
      <c r="B14" t="s">
        <v>470</v>
      </c>
      <c r="C14" s="29">
        <v>45947</v>
      </c>
      <c r="D14" s="29">
        <v>45977</v>
      </c>
      <c r="E14" s="23">
        <v>2007.68</v>
      </c>
      <c r="F14" s="23">
        <v>2007.68</v>
      </c>
      <c r="G14" s="34">
        <f t="shared" ca="1" si="0"/>
        <v>0</v>
      </c>
      <c r="H14" t="s">
        <v>449</v>
      </c>
      <c r="I14" t="str">
        <f t="shared" ca="1" si="1"/>
        <v>AL DÍA</v>
      </c>
    </row>
    <row r="15" spans="1:10" x14ac:dyDescent="0.25">
      <c r="A15" s="37" t="s">
        <v>471</v>
      </c>
      <c r="E15" s="36">
        <f>SUM(E3:E14)</f>
        <v>17509.329999999998</v>
      </c>
      <c r="F15" s="36">
        <f>SUM(F3:F14)</f>
        <v>17509.329999999998</v>
      </c>
    </row>
    <row r="16" spans="1:10" x14ac:dyDescent="0.25">
      <c r="A16" s="29">
        <v>45961</v>
      </c>
      <c r="B16" t="s">
        <v>472</v>
      </c>
      <c r="C16" t="s">
        <v>473</v>
      </c>
      <c r="D16" s="23">
        <v>942.53</v>
      </c>
      <c r="E16" s="29">
        <v>45976</v>
      </c>
      <c r="F16" s="48" t="s">
        <v>454</v>
      </c>
      <c r="G16" t="s">
        <v>474</v>
      </c>
      <c r="H16">
        <f ca="1">IF(D16&lt;TODAY(), TODAY()-D16, 0)</f>
        <v>45031.47</v>
      </c>
      <c r="I16" t="str">
        <f ca="1">IF(H16=0, "AL DÍA", IF(H16&lt;=30, "VENCIDA", "CRÍTICA"))</f>
        <v>CRÍTICA</v>
      </c>
    </row>
    <row r="17" spans="1:9" x14ac:dyDescent="0.25">
      <c r="A17" t="s">
        <v>472</v>
      </c>
      <c r="B17" t="s">
        <v>473</v>
      </c>
      <c r="C17" s="29">
        <v>45961</v>
      </c>
      <c r="D17" s="29">
        <v>45991</v>
      </c>
      <c r="E17" s="23">
        <v>942.53</v>
      </c>
      <c r="F17" s="23">
        <v>942.53</v>
      </c>
      <c r="G17">
        <f ca="1">IF(D17&lt;TODAY(), TODAY()-D17, 0)</f>
        <v>0</v>
      </c>
      <c r="H17" s="48" t="s">
        <v>454</v>
      </c>
      <c r="I17" t="str">
        <f>IF(H17=0, "AL DÍA", IF(H17&lt;=30, "VENCIDA", "CRÍTICA"))</f>
        <v>CRÍTICA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TRANSACCIONES</vt:lpstr>
      <vt:lpstr>EFECTIVO</vt:lpstr>
      <vt:lpstr>DASHBOARD</vt:lpstr>
      <vt:lpstr>ENTIDADES_ALIAS</vt:lpstr>
      <vt:lpstr>CONFIG</vt:lpstr>
      <vt:lpstr>IVA_CONTROL</vt:lpstr>
      <vt:lpstr>CxC</vt:lpstr>
      <vt:lpstr>CxP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Alvaro Velasco</cp:lastModifiedBy>
  <dcterms:created xsi:type="dcterms:W3CDTF">2025-11-13T00:54:25Z</dcterms:created>
  <dcterms:modified xsi:type="dcterms:W3CDTF">2025-11-13T17:39:53Z</dcterms:modified>
</cp:coreProperties>
</file>