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 HH:MM"/>
    <numFmt numFmtId="165" formatCode="DD/MM/YYYY"/>
    <numFmt numFmtId="166" formatCode="$#,##0.00"/>
    <numFmt numFmtId="167" formatCode="₡#,##0"/>
    <numFmt numFmtId="168" formatCode="0.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b val="1"/>
      <sz val="12"/>
    </font>
    <font>
      <b val="1"/>
    </font>
    <font>
      <b val="1"/>
      <color rgb="00FF0000"/>
      <sz val="12"/>
    </font>
    <font>
      <name val="Calibri"/>
      <i val="1"/>
      <sz val="9"/>
    </font>
    <font>
      <b val="1"/>
      <color rgb="00FF0000"/>
    </font>
    <font>
      <b val="1"/>
      <sz val="14"/>
    </font>
    <font>
      <b val="1"/>
      <sz val="16"/>
    </font>
    <font>
      <b val="1"/>
      <color rgb="00FF0000"/>
      <sz val="10"/>
    </font>
    <font>
      <name val="Calibri"/>
      <b val="1"/>
      <sz val="16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4" fontId="2" fillId="3" borderId="1" applyAlignment="1" pivotButton="0" quotePrefix="0" xfId="0">
      <alignment horizontal="right" vertical="center"/>
    </xf>
    <xf numFmtId="0" fontId="5" fillId="0" borderId="0" pivotButton="0" quotePrefix="0" xfId="0"/>
    <xf numFmtId="166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7" fontId="2" fillId="4" borderId="1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6" fontId="5" fillId="6" borderId="0" pivotButton="0" quotePrefix="0" xfId="0"/>
    <xf numFmtId="167" fontId="5" fillId="6" borderId="0" pivotButton="0" quotePrefix="0" xfId="0"/>
    <xf numFmtId="0" fontId="9" fillId="0" borderId="0" pivotButton="0" quotePrefix="0" xfId="0"/>
    <xf numFmtId="166" fontId="10" fillId="7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7" fillId="0" borderId="0" pivotButton="0" quotePrefix="0" xfId="0"/>
    <xf numFmtId="166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6" fontId="0" fillId="0" borderId="0" pivotButton="0" quotePrefix="0" xfId="0"/>
    <xf numFmtId="168" fontId="9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tipo de cambio del día.
Si dejas vacío, se usará 540 por defecto.
Formato: 540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30" customWidth="1" min="4" max="4"/>
    <col width="28" customWidth="1" min="5" max="5"/>
    <col width="30" customWidth="1" min="6" max="6"/>
    <col width="12" customWidth="1" min="7" max="7"/>
    <col width="12" customWidth="1" min="8" max="8"/>
    <col width="12" customWidth="1" min="9" max="9"/>
    <col width="10" customWidth="1" min="10" max="10"/>
    <col width="15" customWidth="1" min="11" max="11"/>
    <col width="12" customWidth="1" min="12" max="12"/>
    <col width="8" customWidth="1" min="13" max="13"/>
    <col width="15" customWidth="1" min="14" max="14"/>
    <col width="25" customWidth="1" min="15" max="15"/>
    <col width="12" customWidth="1" min="16" max="16"/>
    <col width="12" customWidth="1" min="17" max="17"/>
    <col width="12" customWidth="1" min="18" max="18"/>
    <col width="15" customWidth="1" min="19" max="19"/>
    <col width="10" customWidth="1" min="20" max="20"/>
  </cols>
  <sheetData>
    <row r="1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4" t="n"/>
      <c r="I2" s="4" t="n"/>
      <c r="J2" s="4" t="n">
        <v>540</v>
      </c>
      <c r="K2" s="3" t="n"/>
      <c r="L2" s="3" t="n"/>
      <c r="M2" s="3" t="n"/>
      <c r="N2" s="3" t="n"/>
      <c r="O2" s="3" t="n"/>
      <c r="P2" s="3" t="n"/>
      <c r="Q2" s="5">
        <f>NOW()</f>
        <v/>
      </c>
      <c r="S2" s="6">
        <f>IF(
COUNTIFS(
$A:$A, A2,
$E:$E, E2,
$I:$I, I2
) &gt; 1,
"⚠️ POSIBLE DUPLICADO",
""
)</f>
        <v/>
      </c>
      <c r="T2" s="6">
        <f>ROW()-1</f>
        <v/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"Ventas - Servicios Técnicos,Ventas - Hardware,Ventas - Software,Compras - Inventario,Salarios,Seguridad Social (CCSS),Alquiler,Servicios Públicos,Internet/Teléfono,Combustible,Mantenimiento,Papelería,Intereses - Tarjetas,Intereses - Préstamos,Intereses - Hacienda,IVA Cobrado,IVA Pagado,Transferencia entre cuentas,Otros"</formula1>
    </dataValidation>
    <dataValidation sqref="E2:E1000" showDropDown="0" showInputMessage="0" showErrorMessage="0" allowBlank="0" errorTitle="Cuenta inválida" error="Selecciona una cuenta válida de la lista" type="list">
      <formula1>"BNCR CRC Ahorros (***8618),BNCR USD Ahorros (***1066),BNCR CRC Corriente (***2186),BNCR USD Corriente (***9589),BNCR USD Corriente (***1112),Promerica CRC SINPE (***1708),Promerica USD Ahorros (***1691),Promerica CRC CC Corp (***4229),Promerica USD CC Corp (***1774),BNCR VISA ***3519 (Alvaro),BNCR VISA ***9837 (Alvaro),BNCR VISA ***6386 (Alejandra),BNCR MC ***8759 (Alvaro),BAC VISA ***9550 (Alvaro)"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0" customWidth="1" min="3" max="3"/>
    <col width="8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>
      <c r="A1" s="7" t="inlineStr">
        <is>
          <t>CONTROL DE EFECTIVO, BANCOS Y TARJETAS DE CRÉDITO</t>
        </is>
      </c>
    </row>
    <row r="3">
      <c r="A3" s="8" t="inlineStr">
        <is>
          <t>🏦 CUENTAS BANCARIAS (ACTIVOS)</t>
        </is>
      </c>
    </row>
    <row r="4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" t="n">
        <v>0.4081932367149759</v>
      </c>
      <c r="F5" s="9" t="n">
        <v>0</v>
      </c>
      <c r="G5" s="9" t="n">
        <v>0</v>
      </c>
      <c r="H5" s="9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" t="n">
        <v>1087.37</v>
      </c>
      <c r="F6" s="9" t="n">
        <v>0</v>
      </c>
      <c r="G6" s="9" t="n">
        <v>0</v>
      </c>
      <c r="H6" s="9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" t="n">
        <v>55.94299516908212</v>
      </c>
      <c r="F7" s="9" t="n">
        <v>0</v>
      </c>
      <c r="G7" s="9" t="n">
        <v>0</v>
      </c>
      <c r="H7" s="9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" t="n">
        <v>0.43</v>
      </c>
      <c r="F8" s="9" t="n">
        <v>0</v>
      </c>
      <c r="G8" s="9" t="n">
        <v>0</v>
      </c>
      <c r="H8" s="9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" t="n">
        <v>21.84</v>
      </c>
      <c r="F9" s="9" t="n">
        <v>0</v>
      </c>
      <c r="G9" s="9" t="n">
        <v>0</v>
      </c>
      <c r="H9" s="9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" t="n">
        <v>2.106280193236715</v>
      </c>
      <c r="F10" s="9" t="n">
        <v>0</v>
      </c>
      <c r="G10" s="9" t="n">
        <v>0</v>
      </c>
      <c r="H10" s="9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" t="n">
        <v>0</v>
      </c>
      <c r="F11" s="9" t="n">
        <v>0</v>
      </c>
      <c r="G11" s="9" t="n">
        <v>0</v>
      </c>
      <c r="H11" s="9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" t="n">
        <v>0</v>
      </c>
      <c r="F12" s="9" t="n">
        <v>0</v>
      </c>
      <c r="G12" s="9" t="n">
        <v>0</v>
      </c>
      <c r="H12" s="9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" t="n">
        <v>2276.44</v>
      </c>
      <c r="F13" s="9" t="n">
        <v>0</v>
      </c>
      <c r="G13" s="9" t="n">
        <v>0</v>
      </c>
      <c r="H13" s="9">
        <f>E13+F13+G13</f>
        <v/>
      </c>
      <c r="I13" t="inlineStr">
        <is>
          <t>NEGOCIO</t>
        </is>
      </c>
    </row>
    <row r="14">
      <c r="A14" s="10" t="inlineStr">
        <is>
          <t>TOTAL BANCOS (ACTIVOS)</t>
        </is>
      </c>
      <c r="E14" s="11">
        <f>SUM(E5:E13)</f>
        <v/>
      </c>
      <c r="F14" s="11">
        <f>SUM(F5:F13)</f>
        <v/>
      </c>
      <c r="G14" s="11">
        <f>SUM(G5:G13)</f>
        <v/>
      </c>
      <c r="H14" s="11">
        <f>SUM(H5:H13)</f>
        <v/>
      </c>
    </row>
    <row r="16">
      <c r="A16" s="12" t="inlineStr">
        <is>
          <t>💳 TARJETAS DE CRÉDITO (PASIVOS - DEUDAS)</t>
        </is>
      </c>
    </row>
    <row r="17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13" t="n">
        <v>3864.9</v>
      </c>
      <c r="D18" s="14" t="n">
        <v>0</v>
      </c>
      <c r="E18" s="15">
        <f>C18+(D18/517.5)</f>
        <v/>
      </c>
      <c r="F18" s="15" t="n">
        <v>0</v>
      </c>
      <c r="G18" s="15" t="n">
        <v>0</v>
      </c>
      <c r="H18" s="16">
        <f>E18+F18+G18</f>
        <v/>
      </c>
      <c r="I18" s="17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13" t="n">
        <v>3299.01</v>
      </c>
      <c r="D19" s="14" t="n">
        <v>0</v>
      </c>
      <c r="E19" s="15">
        <f>C19+(D19/517.5)</f>
        <v/>
      </c>
      <c r="F19" s="15" t="n">
        <v>0</v>
      </c>
      <c r="G19" s="15" t="n">
        <v>0</v>
      </c>
      <c r="H19" s="16">
        <f>E19+F19+G19</f>
        <v/>
      </c>
      <c r="I19" s="17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13" t="n">
        <v>5195.07</v>
      </c>
      <c r="D20" s="14" t="n">
        <v>0</v>
      </c>
      <c r="E20" s="15">
        <f>C20+(D20/517.5)</f>
        <v/>
      </c>
      <c r="F20" s="15" t="n">
        <v>0</v>
      </c>
      <c r="G20" s="15" t="n">
        <v>0</v>
      </c>
      <c r="H20" s="16">
        <f>E20+F20+G20</f>
        <v/>
      </c>
      <c r="I20" s="17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13" t="n">
        <v>0</v>
      </c>
      <c r="D21" s="14" t="n">
        <v>863830</v>
      </c>
      <c r="E21" s="15">
        <f>C21+(D21/517.5)</f>
        <v/>
      </c>
      <c r="F21" s="15" t="n">
        <v>0</v>
      </c>
      <c r="G21" s="15" t="n">
        <v>0</v>
      </c>
      <c r="H21" s="16">
        <f>E21+F21+G21</f>
        <v/>
      </c>
      <c r="I21" s="17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13" t="n">
        <v>2508.75</v>
      </c>
      <c r="D22" s="14" t="n">
        <v>0</v>
      </c>
      <c r="E22" s="15">
        <f>C22+(D22/517.5)</f>
        <v/>
      </c>
      <c r="F22" s="15" t="n">
        <v>0</v>
      </c>
      <c r="G22" s="15" t="n">
        <v>0</v>
      </c>
      <c r="H22" s="16">
        <f>E22+F22+G22</f>
        <v/>
      </c>
      <c r="I22" s="17" t="inlineStr">
        <is>
          <t>Pago mínimo × 1.5</t>
        </is>
      </c>
    </row>
    <row r="23">
      <c r="A23" s="18" t="inlineStr">
        <is>
          <t>TOTAL TARJETAS (PASIVOS)</t>
        </is>
      </c>
      <c r="C23" s="19">
        <f>SUM(C18:C22)</f>
        <v/>
      </c>
      <c r="D23" s="20">
        <f>SUM(D18:D22)</f>
        <v/>
      </c>
      <c r="E23" s="19">
        <f>SUM(E18:E22)</f>
        <v/>
      </c>
      <c r="F23" s="19">
        <f>SUM(F18:F22)</f>
        <v/>
      </c>
      <c r="G23" s="19">
        <f>SUM(G18:G22)</f>
        <v/>
      </c>
      <c r="H23" s="19">
        <f>SUM(H18:H22)</f>
        <v/>
      </c>
    </row>
    <row r="25">
      <c r="A25" s="21" t="inlineStr">
        <is>
          <t>💰 EFECTIVO NETO (Bancos - Tarjetas)</t>
        </is>
      </c>
      <c r="F25" s="22">
        <f>H14-H23</f>
        <v/>
      </c>
    </row>
    <row r="27">
      <c r="A27" s="10" t="inlineStr">
        <is>
          <t>💡 NOTAS:</t>
        </is>
      </c>
    </row>
    <row r="28">
      <c r="A28" s="17" t="inlineStr">
        <is>
          <t>• Saldos al 12 de Noviembre 2025</t>
        </is>
      </c>
    </row>
    <row r="29">
      <c r="A29" s="17" t="inlineStr">
        <is>
          <t>• Columnas 'Ingresos', 'Egresos', 'Pagos' y 'Cargos' se conectarán automáticamente a TRANSACCIONES</t>
        </is>
      </c>
    </row>
    <row r="30">
      <c r="A30" s="17" t="inlineStr">
        <is>
          <t>• Tipo de cambio usado: ₡517.5 por $1 USD</t>
        </is>
      </c>
    </row>
    <row r="31">
      <c r="A31" s="23" t="inlineStr">
        <is>
          <t>• EFECTIVO NETO REAL (12/Nov): $3,444.54 en bancos - $16,536 en tarjetas = -$13,091.46 (CRISIS)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min="2" max="2"/>
    <col width="18" customWidth="1" min="3" max="3"/>
    <col width="18" customWidth="1" min="4" max="4"/>
    <col width="20" customWidth="1" min="5" max="5"/>
    <col width="15" customWidth="1" min="6" max="6"/>
  </cols>
  <sheetData>
    <row r="2">
      <c r="B2" s="24" t="inlineStr">
        <is>
          <t>DASHBOARD FINANCIERO</t>
        </is>
      </c>
    </row>
    <row r="3">
      <c r="B3" t="inlineStr">
        <is>
          <t>Última actualización:</t>
        </is>
      </c>
      <c r="C3" s="25">
        <f>NOW()</f>
        <v/>
      </c>
    </row>
    <row r="5">
      <c r="B5" s="8" t="inlineStr">
        <is>
          <t>💰 EFECTIVO DISPONIBLE</t>
        </is>
      </c>
      <c r="E5" s="12" t="inlineStr">
        <is>
          <t>🚨 ALERTAS CRÍTICAS</t>
        </is>
      </c>
    </row>
    <row r="6">
      <c r="B6" t="inlineStr">
        <is>
          <t>Total Efectivo (USD):</t>
        </is>
      </c>
      <c r="C6" s="26">
        <f>EFECTIVO!G13</f>
        <v/>
      </c>
      <c r="E6" t="inlineStr">
        <is>
          <t>Duplicados:</t>
        </is>
      </c>
      <c r="F6" s="27">
        <f>COUNTIF(TRANSACCIONES!S:S, "⚠️ POSIBLE DUPLICADO")</f>
        <v/>
      </c>
    </row>
    <row r="7">
      <c r="E7" t="inlineStr">
        <is>
          <t>Pendientes:</t>
        </is>
      </c>
      <c r="F7" s="28">
        <f>COUNTIF(TRANSACCIONES!L:L, "PENDIENTE")</f>
        <v/>
      </c>
    </row>
    <row r="8">
      <c r="B8" s="8" t="inlineStr">
        <is>
          <t>⏱️ DÍAS DE COBERTURA</t>
        </is>
      </c>
      <c r="E8" t="inlineStr">
        <is>
          <t>Sin categoría:</t>
        </is>
      </c>
      <c r="F8" s="10">
        <f>COUNTBLANK(TRANSACCIONES!C:C) - 1</f>
        <v/>
      </c>
    </row>
    <row r="9">
      <c r="B9" t="inlineStr">
        <is>
          <t>Gasto Diario Promedio:</t>
        </is>
      </c>
      <c r="C9" s="29">
        <f>SUMIFS(TRANSACCIONES!I:I, TRANSACCIONES!B:B, "GASTO OPERATIVO", TRANSACCIONES!L:L, "COMPLETADA") / 30</f>
        <v/>
      </c>
    </row>
    <row r="10">
      <c r="B10" t="inlineStr">
        <is>
          <t>Días de Cobertura:</t>
        </is>
      </c>
      <c r="C10" s="30">
        <f>IF(C9&gt;0, C6/C9, 0)</f>
        <v/>
      </c>
      <c r="D10" s="31">
        <f>IF(C10&lt;15, "🚨 CRÍTICO", IF(C10&lt;30, "⚠️ PRECAUCIÓN", "✅ SALUDABLE"))</f>
        <v/>
      </c>
    </row>
    <row r="12">
      <c r="B12" s="8" t="inlineStr">
        <is>
          <t>🏆 TOP 5 CLIENTES (Noviembre)</t>
        </is>
      </c>
    </row>
    <row r="13">
      <c r="B13" s="1" t="inlineStr">
        <is>
          <t>Cliente</t>
        </is>
      </c>
      <c r="C13" s="1" t="inlineStr">
        <is>
          <t>Facturado USD</t>
        </is>
      </c>
    </row>
    <row r="14">
      <c r="B14" t="inlineStr">
        <is>
          <t>Grupo Acción Comercial S.A.</t>
        </is>
      </c>
      <c r="C14" s="29" t="n">
        <v>1689.04</v>
      </c>
    </row>
    <row r="15">
      <c r="B15" t="inlineStr">
        <is>
          <t>VWR International Ltda</t>
        </is>
      </c>
      <c r="C15" s="29" t="n">
        <v>1400</v>
      </c>
    </row>
    <row r="16">
      <c r="B16" t="inlineStr">
        <is>
          <t>Alfipac (Almacén Fiscal Pacífico)</t>
        </is>
      </c>
      <c r="C16" s="29" t="n">
        <v>761.05</v>
      </c>
    </row>
    <row r="17">
      <c r="B17" t="inlineStr">
        <is>
          <t>3-102-887892 SRL</t>
        </is>
      </c>
      <c r="C17" s="29" t="n">
        <v>691.5599999999999</v>
      </c>
    </row>
    <row r="18">
      <c r="B18" t="inlineStr">
        <is>
          <t>Waipio S.A.</t>
        </is>
      </c>
      <c r="C18" s="29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15" customWidth="1" min="8" max="8"/>
    <col width="30" customWidth="1" min="9" max="9"/>
    <col width="15" customWidth="1" min="10" max="10"/>
  </cols>
  <sheetData>
    <row r="1">
      <c r="A1" s="7" t="inlineStr">
        <is>
          <t>SISTEMA DE NORMALIZACIÓN DE ENTIDADES</t>
        </is>
      </c>
    </row>
    <row r="2">
      <c r="A2" s="17" t="inlineStr">
        <is>
          <t>💡 Esta hoja permite normalizar nombres de clientes, proveedores y bancos que aparecen con variaciones</t>
        </is>
      </c>
    </row>
    <row r="4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3" t="inlineStr">
        <is>
          <t>Grupo Acción Comercial</t>
        </is>
      </c>
      <c r="D5" s="3" t="inlineStr">
        <is>
          <t>GACS</t>
        </is>
      </c>
      <c r="E5" s="3" t="n"/>
      <c r="F5" s="3" t="n"/>
      <c r="G5" s="3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3" t="inlineStr">
        <is>
          <t>VWR International</t>
        </is>
      </c>
      <c r="D6" s="3" t="inlineStr">
        <is>
          <t>IL</t>
        </is>
      </c>
      <c r="E6" s="3" t="n"/>
      <c r="F6" s="3" t="n"/>
      <c r="G6" s="3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3" t="inlineStr"/>
      <c r="D7" s="3" t="inlineStr">
        <is>
          <t>A(FP</t>
        </is>
      </c>
      <c r="E7" s="3" t="n"/>
      <c r="F7" s="3" t="n"/>
      <c r="G7" s="3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3" t="inlineStr"/>
      <c r="D8" s="3" t="n"/>
      <c r="E8" s="3" t="n"/>
      <c r="F8" s="3" t="n"/>
      <c r="G8" s="3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3" t="inlineStr">
        <is>
          <t>Waipio</t>
        </is>
      </c>
      <c r="D9" s="3" t="n"/>
      <c r="E9" s="3" t="n"/>
      <c r="F9" s="3" t="n"/>
      <c r="G9" s="3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3" t="inlineStr"/>
      <c r="D10" s="3" t="inlineStr">
        <is>
          <t>CIO</t>
        </is>
      </c>
      <c r="E10" s="3" t="n"/>
      <c r="F10" s="3" t="n"/>
      <c r="G10" s="3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3" t="inlineStr"/>
      <c r="D11" s="3" t="inlineStr">
        <is>
          <t>OC</t>
        </is>
      </c>
      <c r="E11" s="3" t="n"/>
      <c r="F11" s="3" t="n"/>
      <c r="G11" s="3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3" t="inlineStr">
        <is>
          <t>Global Automotriz GACR</t>
        </is>
      </c>
      <c r="D12" s="3" t="inlineStr">
        <is>
          <t>GAGS</t>
        </is>
      </c>
      <c r="E12" s="3" t="n"/>
      <c r="F12" s="3" t="n"/>
      <c r="G12" s="3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3" t="inlineStr"/>
      <c r="D13" s="3" t="n"/>
      <c r="E13" s="3" t="n"/>
      <c r="F13" s="3" t="n"/>
      <c r="G13" s="3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3" t="inlineStr"/>
      <c r="D14" s="3" t="n"/>
      <c r="E14" s="3" t="n"/>
      <c r="F14" s="3" t="n"/>
      <c r="G14" s="3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3" t="inlineStr"/>
      <c r="D15" s="3" t="inlineStr">
        <is>
          <t>A(AC</t>
        </is>
      </c>
      <c r="E15" s="3" t="n"/>
      <c r="F15" s="3" t="n"/>
      <c r="G15" s="3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3" t="inlineStr"/>
      <c r="D16" s="3" t="inlineStr">
        <is>
          <t>RRCH</t>
        </is>
      </c>
      <c r="E16" s="3" t="n"/>
      <c r="F16" s="3" t="n"/>
      <c r="G16" s="3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3" t="inlineStr">
        <is>
          <t>Supply Net C.R.W.H</t>
        </is>
      </c>
      <c r="D17" s="3" t="inlineStr">
        <is>
          <t>SCS</t>
        </is>
      </c>
      <c r="E17" s="3" t="n"/>
      <c r="F17" s="3" t="n"/>
      <c r="G17" s="3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3" t="inlineStr"/>
      <c r="D18" s="3" t="inlineStr">
        <is>
          <t>OMTM</t>
        </is>
      </c>
      <c r="E18" s="3" t="n"/>
      <c r="F18" s="3" t="n"/>
      <c r="G18" s="3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3" t="inlineStr">
        <is>
          <t>Gentra de Costa Rica</t>
        </is>
      </c>
      <c r="D19" s="3" t="inlineStr">
        <is>
          <t>GCRS</t>
        </is>
      </c>
      <c r="E19" s="3" t="n"/>
      <c r="F19" s="3" t="n"/>
      <c r="G19" s="3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3" t="inlineStr"/>
      <c r="D20" s="3" t="inlineStr">
        <is>
          <t>SNE</t>
        </is>
      </c>
      <c r="E20" s="3" t="n"/>
      <c r="F20" s="3" t="n"/>
      <c r="G20" s="3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3" t="inlineStr"/>
      <c r="D21" s="3" t="inlineStr">
        <is>
          <t>GAEL</t>
        </is>
      </c>
      <c r="E21" s="3" t="n"/>
      <c r="F21" s="3" t="n"/>
      <c r="G21" s="3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3" t="inlineStr"/>
      <c r="D22" s="3" t="inlineStr">
        <is>
          <t>MMM</t>
        </is>
      </c>
      <c r="E22" s="3" t="n"/>
      <c r="F22" s="3" t="n"/>
      <c r="G22" s="3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3" t="inlineStr">
        <is>
          <t>Bandogo Soluciones Tecnológicas</t>
        </is>
      </c>
      <c r="D23" s="3" t="inlineStr">
        <is>
          <t>BSTS</t>
        </is>
      </c>
      <c r="E23" s="3" t="n"/>
      <c r="F23" s="3" t="n"/>
      <c r="G23" s="3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3" t="inlineStr">
        <is>
          <t>CPF Servicios Radiológicos</t>
        </is>
      </c>
      <c r="D24" s="3" t="inlineStr">
        <is>
          <t>SRS</t>
        </is>
      </c>
      <c r="E24" s="3" t="n"/>
      <c r="F24" s="3" t="n"/>
      <c r="G24" s="3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3" t="inlineStr">
        <is>
          <t>Ortodec</t>
        </is>
      </c>
      <c r="D25" s="3" t="n"/>
      <c r="E25" s="3" t="n"/>
      <c r="F25" s="3" t="n"/>
      <c r="G25" s="3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3" t="inlineStr"/>
      <c r="D26" s="3" t="inlineStr">
        <is>
          <t>PMF</t>
        </is>
      </c>
      <c r="E26" s="3" t="n"/>
      <c r="F26" s="3" t="n"/>
      <c r="G26" s="3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3" t="n"/>
      <c r="D27" s="3" t="n"/>
      <c r="E27" s="3" t="n"/>
      <c r="F27" s="3" t="n"/>
      <c r="G27" s="3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3" t="n"/>
      <c r="D28" s="3" t="n"/>
      <c r="E28" s="3" t="n"/>
      <c r="F28" s="3" t="n"/>
      <c r="G28" s="3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3" t="n"/>
      <c r="D29" s="3" t="n"/>
      <c r="E29" s="3" t="n"/>
      <c r="F29" s="3" t="n"/>
      <c r="G29" s="3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3" t="n"/>
      <c r="D30" s="3" t="n"/>
      <c r="E30" s="3" t="n"/>
      <c r="F30" s="3" t="n"/>
      <c r="G30" s="3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3" t="n"/>
      <c r="D31" s="3" t="n"/>
      <c r="E31" s="3" t="n"/>
      <c r="F31" s="3" t="n"/>
      <c r="G31" s="3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3" t="n"/>
      <c r="D32" s="3" t="n"/>
      <c r="E32" s="3" t="n"/>
      <c r="F32" s="3" t="n"/>
      <c r="G32" s="3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3" t="n"/>
      <c r="D33" s="3" t="n"/>
      <c r="E33" s="3" t="n"/>
      <c r="F33" s="3" t="n"/>
      <c r="G33" s="3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3" t="n"/>
      <c r="D34" s="3" t="n"/>
      <c r="E34" s="3" t="n"/>
      <c r="F34" s="3" t="n"/>
      <c r="G34" s="3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3" t="n"/>
      <c r="D35" s="3" t="n"/>
      <c r="E35" s="3" t="n"/>
      <c r="F35" s="3" t="n"/>
      <c r="G35" s="3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3" t="n"/>
      <c r="D36" s="3" t="n"/>
      <c r="E36" s="3" t="n"/>
      <c r="F36" s="3" t="n"/>
      <c r="G36" s="3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3" t="n"/>
      <c r="D37" s="3" t="n"/>
      <c r="E37" s="3" t="n"/>
      <c r="F37" s="3" t="n"/>
      <c r="G37" s="3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3" t="n"/>
      <c r="D38" s="3" t="n"/>
      <c r="E38" s="3" t="n"/>
      <c r="F38" s="3" t="n"/>
      <c r="G38" s="3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3" t="n"/>
      <c r="D39" s="3" t="n"/>
      <c r="E39" s="3" t="n"/>
      <c r="F39" s="3" t="n"/>
      <c r="G39" s="3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3" t="n"/>
      <c r="D40" s="3" t="n"/>
      <c r="E40" s="3" t="n"/>
      <c r="F40" s="3" t="n"/>
      <c r="G40" s="3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10" t="inlineStr">
        <is>
          <t>📋 INSTRUCCIONES:</t>
        </is>
      </c>
    </row>
    <row r="44">
      <c r="A44" s="17" t="inlineStr">
        <is>
          <t>1. Cuando aparezca una variación de nombre, agrégala como 'Alias' en la fila correspondiente</t>
        </is>
      </c>
    </row>
    <row r="45">
      <c r="A45" s="17" t="inlineStr">
        <is>
          <t>2. Ejecuta: python scripts/normalizar_entidades_universal_v3.py</t>
        </is>
      </c>
    </row>
    <row r="46">
      <c r="A46" s="17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21" t="inlineStr">
        <is>
          <t>CONFIGURACIÓN DEL SISTEMA</t>
        </is>
      </c>
    </row>
    <row r="3">
      <c r="A3" s="10" t="inlineStr">
        <is>
          <t>Versión</t>
        </is>
      </c>
      <c r="B3" t="inlineStr">
        <is>
          <t>3.0.0 MVP</t>
        </is>
      </c>
    </row>
    <row r="4">
      <c r="A4" s="10" t="inlineStr">
        <is>
          <t>Fecha Creación</t>
        </is>
      </c>
      <c r="B4" t="inlineStr">
        <is>
          <t>13/11/2025 00:03</t>
        </is>
      </c>
    </row>
    <row r="5">
      <c r="A5" s="10" t="inlineStr">
        <is>
          <t>Propietario</t>
        </is>
      </c>
      <c r="B5" t="inlineStr">
        <is>
          <t>Alvaro Velasco - CIMSA</t>
        </is>
      </c>
    </row>
    <row r="6">
      <c r="A6" s="10" t="inlineStr">
        <is>
          <t>Tipo Cambio por Defecto</t>
        </is>
      </c>
      <c r="B6" t="inlineStr">
        <is>
          <t>540.00</t>
        </is>
      </c>
    </row>
    <row r="7">
      <c r="A7" s="10" t="inlineStr">
        <is>
          <t>Período Fiscal</t>
        </is>
      </c>
      <c r="B7" t="inlineStr">
        <is>
          <t>2025</t>
        </is>
      </c>
    </row>
    <row r="8">
      <c r="A8" s="10" t="inlineStr">
        <is>
          <t>Mes Activo</t>
        </is>
      </c>
      <c r="B8" t="inlineStr">
        <is>
          <t>Noviembre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2025-11-13T00:03:49Z</dcterms:created>
  <dcterms:modified xmlns:dcterms="http://purl.org/dc/terms/" xmlns:xsi="http://www.w3.org/2001/XMLSchema-instance" xsi:type="dcterms:W3CDTF">2025-11-13T00:03:49Z</dcterms:modified>
</cp:coreProperties>
</file>