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CIONES" sheetId="1" state="visible" r:id="rId1"/>
    <sheet xmlns:r="http://schemas.openxmlformats.org/officeDocument/2006/relationships" name="EFECTIVO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ENTIDADES_ALIAS" sheetId="4" state="visible" r:id="rId4"/>
    <sheet xmlns:r="http://schemas.openxmlformats.org/officeDocument/2006/relationships" name="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 HH:MM"/>
    <numFmt numFmtId="165" formatCode="DD/MM/YYYY"/>
    <numFmt numFmtId="166" formatCode="₡#,##0.00"/>
    <numFmt numFmtId="167" formatCode="$#,##0.00"/>
    <numFmt numFmtId="168" formatCode="₡#,##0"/>
    <numFmt numFmtId="169" formatCode="0.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4"/>
    </font>
    <font>
      <b val="1"/>
      <sz val="12"/>
    </font>
    <font>
      <b val="1"/>
    </font>
    <font>
      <b val="1"/>
      <color rgb="00FF0000"/>
      <sz val="12"/>
    </font>
    <font>
      <name val="Calibri"/>
      <i val="1"/>
      <sz val="9"/>
    </font>
    <font>
      <b val="1"/>
      <color rgb="00FF0000"/>
    </font>
    <font>
      <b val="1"/>
      <sz val="14"/>
    </font>
    <font>
      <b val="1"/>
      <sz val="16"/>
    </font>
    <font>
      <b val="1"/>
      <color rgb="00FF0000"/>
      <sz val="10"/>
    </font>
    <font>
      <name val="Calibri"/>
      <b val="1"/>
      <sz val="16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166" fontId="2" fillId="4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167" fontId="2" fillId="4" borderId="1" applyAlignment="1" pivotButton="0" quotePrefix="0" xfId="0">
      <alignment horizontal="left" vertical="center"/>
    </xf>
    <xf numFmtId="0" fontId="5" fillId="0" borderId="0" pivotButton="0" quotePrefix="0" xfId="0"/>
    <xf numFmtId="167" fontId="5" fillId="5" borderId="0" pivotButton="0" quotePrefix="0" xfId="0"/>
    <xf numFmtId="0" fontId="6" fillId="0" borderId="0" pivotButton="0" quotePrefix="0" xfId="0"/>
    <xf numFmtId="168" fontId="2" fillId="4" borderId="1" applyAlignment="1" pivotButton="0" quotePrefix="0" xfId="0">
      <alignment horizontal="left" vertical="center"/>
    </xf>
    <xf numFmtId="167" fontId="2" fillId="3" borderId="1" applyAlignment="1" pivotButton="0" quotePrefix="0" xfId="0">
      <alignment horizontal="right" vertical="center"/>
    </xf>
    <xf numFmtId="167" fontId="2" fillId="6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0" borderId="0" pivotButton="0" quotePrefix="0" xfId="0"/>
    <xf numFmtId="167" fontId="5" fillId="6" borderId="0" pivotButton="0" quotePrefix="0" xfId="0"/>
    <xf numFmtId="168" fontId="5" fillId="6" borderId="0" pivotButton="0" quotePrefix="0" xfId="0"/>
    <xf numFmtId="0" fontId="9" fillId="0" borderId="0" pivotButton="0" quotePrefix="0" xfId="0"/>
    <xf numFmtId="167" fontId="10" fillId="7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164" fontId="7" fillId="0" borderId="0" pivotButton="0" quotePrefix="0" xfId="0"/>
    <xf numFmtId="167" fontId="9" fillId="5" borderId="0" pivotButton="0" quotePrefix="0" xfId="0"/>
    <xf numFmtId="0" fontId="5" fillId="6" borderId="0" pivotButton="0" quotePrefix="0" xfId="0"/>
    <xf numFmtId="0" fontId="5" fillId="7" borderId="0" pivotButton="0" quotePrefix="0" xfId="0"/>
    <xf numFmtId="167" fontId="0" fillId="0" borderId="0" pivotButton="0" quotePrefix="0" xfId="0"/>
    <xf numFmtId="169" fontId="9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Sistema v3.0</author>
  </authors>
  <commentList>
    <comment ref="A2" authorId="0" shapeId="0">
      <text>
        <t>💡 FECHA DE LA TRANSACCIÓN
Formato: DD/MM/YYYY
Ejemplo: 15/11/2025
⚠️ Usa la fecha real de la transacción, no cuando la registras.</t>
      </text>
    </comment>
    <comment ref="B2" authorId="0" shapeId="0">
      <text>
        <t>💡 TIPO DE TRANSACCIÓN
Opciones:
• INGRESO - Dinero que entra
• GASTO OPERATIVO - Gastos del negocio
• GASTO FINANCIERO - Intereses, comisiones
• COMPRA PARA REVENTA - Inventario
• TRANSFERENCIA - Movimiento entre cuentas
• PAGO TARJETA - Abono a tarjetas
• PAGO PRESTAMO - Abono a préstamos
• AJUSTE - Correcciones</t>
      </text>
    </comment>
    <comment ref="C2" authorId="0" shapeId="0">
      <text>
        <t>💡 CATEGORÍA
Elige la categoría contable.
Si es venta: Especifica qué vendiste
Si es gasto: Especifica en qué gastaste
⚠️ Importante para reportes de P&amp;L</t>
      </text>
    </comment>
    <comment ref="D2" authorId="0" shapeId="0">
      <text>
        <t>💡 DESCRIPCIÓN
Detalla QUÉ fue la transacción.
Ejemplo:
• Pago quincenal empleados
• Compra inventario laptops HP
• Servicio técnico en sitio - Cliente XYZ
✅ Sé específico, te ayudará después</t>
      </text>
    </comment>
    <comment ref="E2" authorId="0" shapeId="0">
      <text>
        <t>💡 CUENTA ORIGEN
Elige de dónde salió/entró el dinero:
• Cuenta bancaria específica
• Tarjeta de crédito
• Efectivo
⚠️ Debe coincidir exactamente con nombres en hoja EFECTIVO</t>
      </text>
    </comment>
    <comment ref="F2" authorId="0" shapeId="0">
      <text>
        <t>💡 ENTIDAD (Cliente o Proveedor)
Si es INGRESO: Nombre del cliente
Si es GASTO: Nombre del proveedor
⚠️ Usa nombres EXACTOS de la hoja ENTIDADES_ALIAS para que sistema los reconozca</t>
      </text>
    </comment>
    <comment ref="G2" authorId="0" shapeId="0">
      <text>
        <t>💡 FACTURA #
Número de factura electrónica.
Formato CR:
• Clientes: 50601012345678901234567890123456789012345
• Proveedores: 50601XXXXXXXXXXXXXXX
Si no hay factura: deja vacío</t>
      </text>
    </comment>
    <comment ref="H2" authorId="0" shapeId="0">
      <text>
        <t>💡 MONTO EN COLONES (CRC)
Si transacción fue en colones, ingrésala aquí.
Formato: 50000 (sin comas)
⚠️ Ingresa SOLO en una moneda (CRC o USD), no ambas</t>
      </text>
    </comment>
    <comment ref="I2" authorId="0" shapeId="0">
      <text>
        <t>💡 MONTO EN DÓLARES (USD)
Si transacción fue en dólares, ingrésala aquí.
Formato: 100.50
⚠️ Ingresa SOLO en una moneda (CRC o USD), no ambas</t>
      </text>
    </comment>
    <comment ref="J2" authorId="0" shapeId="0">
      <text>
        <t>💡 TIPO DE CAMBIO
Ingresa el tipo de cambio del día.
Si dejas vacío, se usará 540 por defecto.
Formato: 540 (sin comas)</t>
      </text>
    </comment>
    <comment ref="K2" authorId="0" shapeId="0">
      <text>
        <t>💡 MÉTODO DE PAGO
Cómo se realizó el pago:
• Transferencia
• SINPE Móvil
• Efectivo
• Cheque
• Tarjeta débito
• Tarjeta crédito
• Depósito</t>
      </text>
    </comment>
    <comment ref="L2" authorId="0" shapeId="0">
      <text>
        <t>💡 ESTADO
COMPLETADA - Ya se realizó
PENDIENTE - Aún no se ejecuta
CANCELADA - Se anuló</t>
      </text>
    </comment>
    <comment ref="M2" authorId="0" shapeId="0">
      <text>
        <t>💡 IVA INCLUIDO (%)
Si el monto incluye IVA, indica %:
• 13% - Mayoría productos/servicios
• 0% - Sin IVA
• 1%, 2%, 4% - Casos especiales
⚠️ Esto permite calcular IVA exacto después</t>
      </text>
    </comment>
    <comment ref="N2" authorId="0" shapeId="0">
      <text>
        <t>💡 REFERENCIA BANCARIA
Número de referencia del banco.
Ejemplo:
• SINPE: 912345678
• Transferencia: REF-202511-12345
Útil para conciliación</t>
      </text>
    </comment>
    <comment ref="O2" authorId="0" shapeId="0">
      <text>
        <t>💡 NOTAS ADICIONALES
Cualquier información extra relevante:
• Recordatorios
• Aclaraciones
• Próximas acciones
• Relaciones con otras transacciones</t>
      </text>
    </comment>
    <comment ref="P2" authorId="0" shapeId="0">
      <text>
        <t>💡 CREADO POR
Ingresa tu nombre o iniciales.
Ejemplo:
• Alvaro
• AV
• Contador
• Asistente
Útil para auditoría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0" customWidth="1" min="4" max="4"/>
    <col width="28" customWidth="1" min="5" max="5"/>
    <col width="30" customWidth="1" min="6" max="6"/>
    <col width="12" customWidth="1" min="7" max="7"/>
    <col width="12" customWidth="1" min="8" max="8"/>
    <col width="12" customWidth="1" min="9" max="9"/>
    <col width="10" customWidth="1" min="10" max="10"/>
    <col width="15" customWidth="1" min="11" max="11"/>
    <col width="12" customWidth="1" min="12" max="12"/>
    <col width="8" customWidth="1" min="13" max="13"/>
    <col width="15" customWidth="1" min="14" max="14"/>
    <col width="25" customWidth="1" min="15" max="15"/>
    <col width="12" customWidth="1" min="16" max="16"/>
    <col width="12" customWidth="1" min="17" max="17"/>
    <col width="12" customWidth="1" min="18" max="18"/>
    <col width="15" customWidth="1" min="19" max="19"/>
    <col width="10" customWidth="1" min="20" max="20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Categoría</t>
        </is>
      </c>
      <c r="D1" s="1" t="inlineStr">
        <is>
          <t>Descripción</t>
        </is>
      </c>
      <c r="E1" s="1" t="inlineStr">
        <is>
          <t>Cuenta Origen</t>
        </is>
      </c>
      <c r="F1" s="1" t="inlineStr">
        <is>
          <t>Entidad</t>
        </is>
      </c>
      <c r="G1" s="1" t="inlineStr">
        <is>
          <t>Factura #</t>
        </is>
      </c>
      <c r="H1" s="1" t="inlineStr">
        <is>
          <t>Monto CRC</t>
        </is>
      </c>
      <c r="I1" s="1" t="inlineStr">
        <is>
          <t>Monto USD</t>
        </is>
      </c>
      <c r="J1" s="1" t="inlineStr">
        <is>
          <t>Tipo Cambio</t>
        </is>
      </c>
      <c r="K1" s="1" t="inlineStr">
        <is>
          <t>Método Pago</t>
        </is>
      </c>
      <c r="L1" s="1" t="inlineStr">
        <is>
          <t>Estado</t>
        </is>
      </c>
      <c r="M1" s="1" t="inlineStr">
        <is>
          <t>IVA %</t>
        </is>
      </c>
      <c r="N1" s="1" t="inlineStr">
        <is>
          <t>Ref. Bancaria</t>
        </is>
      </c>
      <c r="O1" s="1" t="inlineStr">
        <is>
          <t>Notas</t>
        </is>
      </c>
      <c r="P1" s="1" t="inlineStr">
        <is>
          <t>Creado Por</t>
        </is>
      </c>
      <c r="Q1" s="1" t="inlineStr">
        <is>
          <t>Fecha Creación</t>
        </is>
      </c>
      <c r="R1" s="1" t="inlineStr">
        <is>
          <t>Modificado Por</t>
        </is>
      </c>
      <c r="S1" s="1" t="inlineStr">
        <is>
          <t>⚠️ Duplicados</t>
        </is>
      </c>
      <c r="T1" s="1" t="inlineStr">
        <is>
          <t>ID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4" t="n"/>
      <c r="I2" s="4" t="n"/>
      <c r="J2" s="4" t="n">
        <v>540</v>
      </c>
      <c r="K2" s="3" t="n"/>
      <c r="L2" s="3" t="n"/>
      <c r="M2" s="3" t="n"/>
      <c r="N2" s="3" t="n"/>
      <c r="O2" s="3" t="n"/>
      <c r="P2" s="3" t="n"/>
      <c r="Q2" s="5">
        <f>NOW()</f>
        <v/>
      </c>
      <c r="S2" s="6">
        <f>IF(
COUNTIFS(
$A:$A, A2,
$E:$E, E2,
$I:$I, I2
) &gt; 1,
"⚠️ POSIBLE DUPLICADO",
""
)</f>
        <v/>
      </c>
      <c r="T2" s="6">
        <f>ROW()-1</f>
        <v/>
      </c>
    </row>
  </sheetData>
  <dataValidations count="6">
    <dataValidation sqref="B2:B1000" showDropDown="0" showInputMessage="0" showErrorMessage="0" allowBlank="0" errorTitle="Tipo inválido" error="Selecciona un tipo válido de la lista" type="list">
      <formula1>"INGRESO,GASTO OPERATIVO,GASTO FINANCIERO,COMPRA PARA REVENTA,TRANSFERENCIA,PAGO TARJETA,PAGO PRESTAMO,AJUSTE"</formula1>
    </dataValidation>
    <dataValidation sqref="C2:C1000" showDropDown="0" showInputMessage="0" showErrorMessage="0" allowBlank="0" errorTitle="Categoría inválida" error="Selecciona una categoría válida de la lista" type="list">
      <formula1>"Ventas - Servicios Técnicos,Ventas - Hardware,Ventas - Software,Compras - Inventario,Salarios,Seguridad Social (CCSS),Alquiler,Servicios Públicos,Internet/Teléfono,Combustible,Mantenimiento,Papelería,Intereses - Tarjetas,Intereses - Préstamos,Intereses - Hacienda,IVA Cobrado,IVA Pagado,Transferencia entre cuentas,Otros"</formula1>
    </dataValidation>
    <dataValidation sqref="E2:E1000" showDropDown="0" showInputMessage="0" showErrorMessage="0" allowBlank="0" errorTitle="Cuenta inválida" error="Selecciona una cuenta válida de la lista" type="list">
      <formula1>"BNCR CRC Ahorros (***8618),BNCR USD Ahorros (***1066),BNCR CRC Corriente (***2186),BNCR USD Corriente (***9589),BNCR USD Corriente (***1112),Promerica CRC SINPE (***1708),Promerica USD Ahorros (***1691),Promerica CRC CC Corp (***4229),Promerica USD CC Corp (***1774),BNCR VISA ***3519 (Alvaro),BNCR VISA ***9837 (Alvaro),BNCR VISA ***6386 (Alejandra),BNCR MC ***8759 (Alvaro),BAC VISA ***9550 (Alvaro)"</formula1>
    </dataValidation>
    <dataValidation sqref="K2:K1000" showDropDown="0" showInputMessage="0" showErrorMessage="0" allowBlank="1" type="list">
      <formula1>"Transferencia,Efectivo,Cheque,Tarjeta débito,Tarjeta crédito,SINPE Móvil,Depósito"</formula1>
    </dataValidation>
    <dataValidation sqref="L2:L1000" showDropDown="0" showInputMessage="0" showErrorMessage="0" allowBlank="0" type="list">
      <formula1>"COMPLETADA,PENDIENTE,CANCELADA"</formula1>
    </dataValidation>
    <dataValidation sqref="M2:M1000" showDropDown="0" showInputMessage="0" showErrorMessage="0" allowBlank="1" type="list">
      <formula1>"0,1,2,4,8,13"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0" customWidth="1" min="3" max="3"/>
    <col width="8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</cols>
  <sheetData>
    <row r="1">
      <c r="A1" s="7" t="inlineStr">
        <is>
          <t>CONTROL DE EFECTIVO, BANCOS Y TARJETAS DE CRÉDITO</t>
        </is>
      </c>
    </row>
    <row r="3">
      <c r="A3" s="8" t="inlineStr">
        <is>
          <t>🏦 CUENTAS BANCARIAS (ACTIVOS)</t>
        </is>
      </c>
    </row>
    <row r="4">
      <c r="A4" s="1" t="inlineStr">
        <is>
          <t>Cuenta</t>
        </is>
      </c>
      <c r="B4" s="1" t="inlineStr">
        <is>
          <t>N° Completo</t>
        </is>
      </c>
      <c r="C4" s="1" t="inlineStr">
        <is>
          <t>Tipo</t>
        </is>
      </c>
      <c r="D4" s="1" t="inlineStr">
        <is>
          <t>Moneda</t>
        </is>
      </c>
      <c r="E4" s="1" t="inlineStr">
        <is>
          <t>Saldo 12/Nov</t>
        </is>
      </c>
      <c r="F4" s="1" t="inlineStr">
        <is>
          <t>Ingresos</t>
        </is>
      </c>
      <c r="G4" s="1" t="inlineStr">
        <is>
          <t>Egresos</t>
        </is>
      </c>
      <c r="H4" s="1" t="inlineStr">
        <is>
          <t>Saldo Actual</t>
        </is>
      </c>
      <c r="I4" s="1" t="inlineStr">
        <is>
          <t>Uso</t>
        </is>
      </c>
    </row>
    <row r="5">
      <c r="A5" t="inlineStr">
        <is>
          <t>BNCR CRC Ahorros (***8618)</t>
        </is>
      </c>
      <c r="B5" t="inlineStr">
        <is>
          <t>100-01-000-188618-3</t>
        </is>
      </c>
      <c r="C5" t="inlineStr">
        <is>
          <t>Banco</t>
        </is>
      </c>
      <c r="D5" t="inlineStr">
        <is>
          <t>CRC</t>
        </is>
      </c>
      <c r="E5" s="9" t="n">
        <v>211.24</v>
      </c>
      <c r="F5" s="10" t="n">
        <v>0</v>
      </c>
      <c r="G5" s="10" t="n">
        <v>0</v>
      </c>
      <c r="H5" s="10">
        <f>E5+F5+G5</f>
        <v/>
      </c>
      <c r="I5" t="inlineStr">
        <is>
          <t>NEGOCIO</t>
        </is>
      </c>
    </row>
    <row r="6">
      <c r="A6" t="inlineStr">
        <is>
          <t>BNCR USD Ahorros (***1066)</t>
        </is>
      </c>
      <c r="B6" t="inlineStr">
        <is>
          <t>100-02-087-601066-4</t>
        </is>
      </c>
      <c r="C6" t="inlineStr">
        <is>
          <t>Banco</t>
        </is>
      </c>
      <c r="D6" t="inlineStr">
        <is>
          <t>USD</t>
        </is>
      </c>
      <c r="E6" s="11" t="n">
        <v>1087.37</v>
      </c>
      <c r="F6" s="10" t="n">
        <v>0</v>
      </c>
      <c r="G6" s="10" t="n">
        <v>0</v>
      </c>
      <c r="H6" s="10">
        <f>E6+F6+G6</f>
        <v/>
      </c>
      <c r="I6" t="inlineStr">
        <is>
          <t>NEGOCIO</t>
        </is>
      </c>
    </row>
    <row r="7">
      <c r="A7" t="inlineStr">
        <is>
          <t>BNCR CRC Corriente (***2186)</t>
        </is>
      </c>
      <c r="B7" t="inlineStr">
        <is>
          <t>200-01-087-042186-9</t>
        </is>
      </c>
      <c r="C7" t="inlineStr">
        <is>
          <t>Banco</t>
        </is>
      </c>
      <c r="D7" t="inlineStr">
        <is>
          <t>CRC</t>
        </is>
      </c>
      <c r="E7" s="9" t="n">
        <v>28950.5</v>
      </c>
      <c r="F7" s="10" t="n">
        <v>0</v>
      </c>
      <c r="G7" s="10" t="n">
        <v>0</v>
      </c>
      <c r="H7" s="10">
        <f>E7+F7+G7</f>
        <v/>
      </c>
      <c r="I7" t="inlineStr">
        <is>
          <t>NEGOCIO/RESERVAS</t>
        </is>
      </c>
    </row>
    <row r="8">
      <c r="A8" t="inlineStr">
        <is>
          <t>BNCR USD Corriente (***9589)</t>
        </is>
      </c>
      <c r="B8" t="inlineStr">
        <is>
          <t>200-02-087-009589-4</t>
        </is>
      </c>
      <c r="C8" t="inlineStr">
        <is>
          <t>Banco</t>
        </is>
      </c>
      <c r="D8" t="inlineStr">
        <is>
          <t>USD</t>
        </is>
      </c>
      <c r="E8" s="11" t="n">
        <v>0.43</v>
      </c>
      <c r="F8" s="10" t="n">
        <v>0</v>
      </c>
      <c r="G8" s="10" t="n">
        <v>0</v>
      </c>
      <c r="H8" s="10">
        <f>E8+F8+G8</f>
        <v/>
      </c>
      <c r="I8" t="inlineStr">
        <is>
          <t>PERSONAL</t>
        </is>
      </c>
    </row>
    <row r="9">
      <c r="A9" t="inlineStr">
        <is>
          <t>BNCR USD Corriente (***1112)</t>
        </is>
      </c>
      <c r="B9" t="inlineStr">
        <is>
          <t>200-02-087-011112-1</t>
        </is>
      </c>
      <c r="C9" t="inlineStr">
        <is>
          <t>Banco</t>
        </is>
      </c>
      <c r="D9" t="inlineStr">
        <is>
          <t>USD</t>
        </is>
      </c>
      <c r="E9" s="11" t="n">
        <v>21.84</v>
      </c>
      <c r="F9" s="10" t="n">
        <v>0</v>
      </c>
      <c r="G9" s="10" t="n">
        <v>0</v>
      </c>
      <c r="H9" s="10">
        <f>E9+F9+G9</f>
        <v/>
      </c>
      <c r="I9" t="inlineStr">
        <is>
          <t>PERSONAL</t>
        </is>
      </c>
    </row>
    <row r="10">
      <c r="A10" t="inlineStr">
        <is>
          <t>Promerica CRC SINPE (***1708)</t>
        </is>
      </c>
      <c r="B10" t="inlineStr">
        <is>
          <t>10000003881708</t>
        </is>
      </c>
      <c r="C10" t="inlineStr">
        <is>
          <t>Banco</t>
        </is>
      </c>
      <c r="D10" t="inlineStr">
        <is>
          <t>CRC</t>
        </is>
      </c>
      <c r="E10" s="9" t="n">
        <v>1090</v>
      </c>
      <c r="F10" s="10" t="n">
        <v>0</v>
      </c>
      <c r="G10" s="10" t="n">
        <v>0</v>
      </c>
      <c r="H10" s="10">
        <f>E10+F10+G10</f>
        <v/>
      </c>
      <c r="I10" t="inlineStr">
        <is>
          <t>NEGOCIO</t>
        </is>
      </c>
    </row>
    <row r="11">
      <c r="A11" t="inlineStr">
        <is>
          <t>Promerica USD Ahorros (***1691)</t>
        </is>
      </c>
      <c r="B11" t="inlineStr">
        <is>
          <t>20000003881691</t>
        </is>
      </c>
      <c r="C11" t="inlineStr">
        <is>
          <t>Banco</t>
        </is>
      </c>
      <c r="D11" t="inlineStr">
        <is>
          <t>USD</t>
        </is>
      </c>
      <c r="E11" s="11" t="n">
        <v>0</v>
      </c>
      <c r="F11" s="10" t="n">
        <v>0</v>
      </c>
      <c r="G11" s="10" t="n">
        <v>0</v>
      </c>
      <c r="H11" s="10">
        <f>E11+F11+G11</f>
        <v/>
      </c>
      <c r="I11" t="inlineStr">
        <is>
          <t>NEGOCIO</t>
        </is>
      </c>
    </row>
    <row r="12">
      <c r="A12" t="inlineStr">
        <is>
          <t>Promerica CRC CC Corp (***4229)</t>
        </is>
      </c>
      <c r="B12" t="inlineStr">
        <is>
          <t>30000003904229</t>
        </is>
      </c>
      <c r="C12" t="inlineStr">
        <is>
          <t>Banco</t>
        </is>
      </c>
      <c r="D12" t="inlineStr">
        <is>
          <t>CRC</t>
        </is>
      </c>
      <c r="E12" s="9" t="n">
        <v>0</v>
      </c>
      <c r="F12" s="10" t="n">
        <v>0</v>
      </c>
      <c r="G12" s="10" t="n">
        <v>0</v>
      </c>
      <c r="H12" s="10">
        <f>E12+F12+G12</f>
        <v/>
      </c>
      <c r="I12" t="inlineStr">
        <is>
          <t>NEGOCIO</t>
        </is>
      </c>
    </row>
    <row r="13">
      <c r="A13" t="inlineStr">
        <is>
          <t>Promerica USD CC Corp (***1774)</t>
        </is>
      </c>
      <c r="B13" t="inlineStr">
        <is>
          <t>40000003881774</t>
        </is>
      </c>
      <c r="C13" t="inlineStr">
        <is>
          <t>Banco</t>
        </is>
      </c>
      <c r="D13" t="inlineStr">
        <is>
          <t>USD</t>
        </is>
      </c>
      <c r="E13" s="11" t="n">
        <v>2276.44</v>
      </c>
      <c r="F13" s="10" t="n">
        <v>0</v>
      </c>
      <c r="G13" s="10" t="n">
        <v>0</v>
      </c>
      <c r="H13" s="10">
        <f>E13+F13+G13</f>
        <v/>
      </c>
      <c r="I13" t="inlineStr">
        <is>
          <t>NEGOCIO</t>
        </is>
      </c>
    </row>
    <row r="14">
      <c r="A14" s="12" t="inlineStr">
        <is>
          <t>TOTAL BANCOS (USD equivalente)</t>
        </is>
      </c>
      <c r="E14" s="13">
        <f>SUMIF(D5:D13,"USD",E5:E13)+SUMIF(D5:D13,"CRC",E5:E13)/517.5</f>
        <v/>
      </c>
      <c r="F14" s="13">
        <f>SUM(F5:F13)</f>
        <v/>
      </c>
      <c r="G14" s="13">
        <f>SUM(G5:G13)</f>
        <v/>
      </c>
      <c r="H14" s="13">
        <f>SUM(H5:H13)</f>
        <v/>
      </c>
    </row>
    <row r="16">
      <c r="A16" s="14" t="inlineStr">
        <is>
          <t>💳 TARJETAS DE CRÉDITO (PASIVOS - DEUDAS)</t>
        </is>
      </c>
    </row>
    <row r="17">
      <c r="A17" s="1" t="inlineStr">
        <is>
          <t>Tarjeta</t>
        </is>
      </c>
      <c r="B17" s="1" t="inlineStr">
        <is>
          <t>Titular</t>
        </is>
      </c>
      <c r="C17" s="1" t="inlineStr">
        <is>
          <t>Saldo USD</t>
        </is>
      </c>
      <c r="D17" s="1" t="inlineStr">
        <is>
          <t>Saldo CRC</t>
        </is>
      </c>
      <c r="E17" s="1" t="inlineStr">
        <is>
          <t>Equiv. USD Total</t>
        </is>
      </c>
      <c r="F17" s="1" t="inlineStr">
        <is>
          <t>Pagos</t>
        </is>
      </c>
      <c r="G17" s="1" t="inlineStr">
        <is>
          <t>Cargos</t>
        </is>
      </c>
      <c r="H17" s="1" t="inlineStr">
        <is>
          <t>Saldo Actual</t>
        </is>
      </c>
      <c r="I17" s="1" t="inlineStr">
        <is>
          <t>Estrategia</t>
        </is>
      </c>
    </row>
    <row r="18">
      <c r="A18" t="inlineStr">
        <is>
          <t>BNCR VISA ***3519 (Alvaro)</t>
        </is>
      </c>
      <c r="B18" t="inlineStr">
        <is>
          <t>Alvaro</t>
        </is>
      </c>
      <c r="C18" s="11" t="n">
        <v>3864.9</v>
      </c>
      <c r="D18" s="15" t="n">
        <v>0</v>
      </c>
      <c r="E18" s="16">
        <f>C18+(D18/517.5)</f>
        <v/>
      </c>
      <c r="F18" s="16" t="n">
        <v>0</v>
      </c>
      <c r="G18" s="16" t="n">
        <v>0</v>
      </c>
      <c r="H18" s="17">
        <f>E18+F18+G18</f>
        <v/>
      </c>
      <c r="I18" s="18" t="inlineStr">
        <is>
          <t>Pago total mensual</t>
        </is>
      </c>
    </row>
    <row r="19">
      <c r="A19" t="inlineStr">
        <is>
          <t>BNCR VISA ***9837 (Alvaro)</t>
        </is>
      </c>
      <c r="B19" t="inlineStr">
        <is>
          <t>Alvaro</t>
        </is>
      </c>
      <c r="C19" s="11" t="n">
        <v>3299.01</v>
      </c>
      <c r="D19" s="15" t="n">
        <v>0</v>
      </c>
      <c r="E19" s="16">
        <f>C19+(D19/517.5)</f>
        <v/>
      </c>
      <c r="F19" s="16" t="n">
        <v>0</v>
      </c>
      <c r="G19" s="16" t="n">
        <v>0</v>
      </c>
      <c r="H19" s="17">
        <f>E19+F19+G19</f>
        <v/>
      </c>
      <c r="I19" s="18" t="inlineStr">
        <is>
          <t>Pago mínimo × 1.5</t>
        </is>
      </c>
    </row>
    <row r="20">
      <c r="A20" t="inlineStr">
        <is>
          <t>BNCR VISA ***6386 (Alejandra)</t>
        </is>
      </c>
      <c r="B20" t="inlineStr">
        <is>
          <t>Alejandra</t>
        </is>
      </c>
      <c r="C20" s="11" t="n">
        <v>5195.07</v>
      </c>
      <c r="D20" s="15" t="n">
        <v>0</v>
      </c>
      <c r="E20" s="16">
        <f>C20+(D20/517.5)</f>
        <v/>
      </c>
      <c r="F20" s="16" t="n">
        <v>0</v>
      </c>
      <c r="G20" s="16" t="n">
        <v>0</v>
      </c>
      <c r="H20" s="17">
        <f>E20+F20+G20</f>
        <v/>
      </c>
      <c r="I20" s="18" t="inlineStr">
        <is>
          <t>Pago mínimo × 1.5</t>
        </is>
      </c>
    </row>
    <row r="21">
      <c r="A21" t="inlineStr">
        <is>
          <t>BNCR MC ***8759 (Alvaro)</t>
        </is>
      </c>
      <c r="B21" t="inlineStr">
        <is>
          <t>Alvaro</t>
        </is>
      </c>
      <c r="C21" s="11" t="n">
        <v>0</v>
      </c>
      <c r="D21" s="15" t="n">
        <v>863830</v>
      </c>
      <c r="E21" s="16">
        <f>C21+(D21/517.5)</f>
        <v/>
      </c>
      <c r="F21" s="16" t="n">
        <v>0</v>
      </c>
      <c r="G21" s="16" t="n">
        <v>0</v>
      </c>
      <c r="H21" s="17">
        <f>E21+F21+G21</f>
        <v/>
      </c>
      <c r="I21" s="18" t="inlineStr">
        <is>
          <t>Pago mínimo × 1.5</t>
        </is>
      </c>
    </row>
    <row r="22">
      <c r="A22" t="inlineStr">
        <is>
          <t>BAC VISA ***9550 (Alvaro)</t>
        </is>
      </c>
      <c r="B22" t="inlineStr">
        <is>
          <t>Alvaro</t>
        </is>
      </c>
      <c r="C22" s="11" t="n">
        <v>2508.75</v>
      </c>
      <c r="D22" s="15" t="n">
        <v>0</v>
      </c>
      <c r="E22" s="16">
        <f>C22+(D22/517.5)</f>
        <v/>
      </c>
      <c r="F22" s="16" t="n">
        <v>0</v>
      </c>
      <c r="G22" s="16" t="n">
        <v>0</v>
      </c>
      <c r="H22" s="17">
        <f>E22+F22+G22</f>
        <v/>
      </c>
      <c r="I22" s="18" t="inlineStr">
        <is>
          <t>Pago mínimo × 1.5</t>
        </is>
      </c>
    </row>
    <row r="23">
      <c r="A23" s="19" t="inlineStr">
        <is>
          <t>TOTAL TARJETAS (PASIVOS)</t>
        </is>
      </c>
      <c r="C23" s="20">
        <f>SUM(C18:C22)</f>
        <v/>
      </c>
      <c r="D23" s="21">
        <f>SUM(D18:D22)</f>
        <v/>
      </c>
      <c r="E23" s="20">
        <f>SUM(E18:E22)</f>
        <v/>
      </c>
      <c r="F23" s="20">
        <f>SUM(F18:F22)</f>
        <v/>
      </c>
      <c r="G23" s="20">
        <f>SUM(G18:G22)</f>
        <v/>
      </c>
      <c r="H23" s="20">
        <f>SUM(H18:H22)</f>
        <v/>
      </c>
    </row>
    <row r="25">
      <c r="A25" s="22" t="inlineStr">
        <is>
          <t>💰 EFECTIVO NETO (Bancos - Tarjetas)</t>
        </is>
      </c>
      <c r="F25" s="23">
        <f>H14-H23</f>
        <v/>
      </c>
    </row>
    <row r="27">
      <c r="A27" s="12" t="inlineStr">
        <is>
          <t>💡 NOTAS:</t>
        </is>
      </c>
    </row>
    <row r="28">
      <c r="A28" s="18" t="inlineStr">
        <is>
          <t>• Saldos al 12 de Noviembre 2025</t>
        </is>
      </c>
    </row>
    <row r="29">
      <c r="A29" s="18" t="inlineStr">
        <is>
          <t>• Columnas 'Ingresos', 'Egresos', 'Pagos' y 'Cargos' se conectarán automáticamente a TRANSACCIONES</t>
        </is>
      </c>
    </row>
    <row r="30">
      <c r="A30" s="18" t="inlineStr">
        <is>
          <t>• Tipo de cambio usado: ₡517.5 por $1 USD</t>
        </is>
      </c>
    </row>
    <row r="31">
      <c r="A31" s="24" t="inlineStr">
        <is>
          <t>• EFECTIVO NETO REAL (12/Nov): $3,444.54 en bancos - $16,536 en tarjetas = -$13,091.46 (CRISIS)</t>
        </is>
      </c>
    </row>
  </sheetData>
  <mergeCells count="4">
    <mergeCell ref="A1:I1"/>
    <mergeCell ref="A25:E25"/>
    <mergeCell ref="A3:I3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8"/>
  <sheetViews>
    <sheetView workbookViewId="0">
      <selection activeCell="A1" sqref="A1"/>
    </sheetView>
  </sheetViews>
  <sheetFormatPr baseColWidth="8" defaultRowHeight="15"/>
  <cols>
    <col width="25" customWidth="1" min="2" max="2"/>
    <col width="18" customWidth="1" min="3" max="3"/>
    <col width="18" customWidth="1" min="4" max="4"/>
    <col width="20" customWidth="1" min="5" max="5"/>
    <col width="15" customWidth="1" min="6" max="6"/>
  </cols>
  <sheetData>
    <row r="2">
      <c r="B2" s="25" t="inlineStr">
        <is>
          <t>DASHBOARD FINANCIERO</t>
        </is>
      </c>
    </row>
    <row r="3">
      <c r="B3" t="inlineStr">
        <is>
          <t>Última actualización:</t>
        </is>
      </c>
      <c r="C3" s="26">
        <f>NOW()</f>
        <v/>
      </c>
    </row>
    <row r="5">
      <c r="B5" s="8" t="inlineStr">
        <is>
          <t>💰 EFECTIVO DISPONIBLE</t>
        </is>
      </c>
      <c r="E5" s="14" t="inlineStr">
        <is>
          <t>🚨 ALERTAS CRÍTICAS</t>
        </is>
      </c>
    </row>
    <row r="6">
      <c r="B6" t="inlineStr">
        <is>
          <t>Total Efectivo (USD):</t>
        </is>
      </c>
      <c r="C6" s="27">
        <f>EFECTIVO!G13</f>
        <v/>
      </c>
      <c r="E6" t="inlineStr">
        <is>
          <t>Duplicados:</t>
        </is>
      </c>
      <c r="F6" s="28">
        <f>COUNTIF(TRANSACCIONES!S:S, "⚠️ POSIBLE DUPLICADO")</f>
        <v/>
      </c>
    </row>
    <row r="7">
      <c r="E7" t="inlineStr">
        <is>
          <t>Pendientes:</t>
        </is>
      </c>
      <c r="F7" s="29">
        <f>COUNTIF(TRANSACCIONES!L:L, "PENDIENTE")</f>
        <v/>
      </c>
    </row>
    <row r="8">
      <c r="B8" s="8" t="inlineStr">
        <is>
          <t>⏱️ DÍAS DE COBERTURA</t>
        </is>
      </c>
      <c r="E8" t="inlineStr">
        <is>
          <t>Sin categoría:</t>
        </is>
      </c>
      <c r="F8" s="12">
        <f>COUNTBLANK(TRANSACCIONES!C:C) - 1</f>
        <v/>
      </c>
    </row>
    <row r="9">
      <c r="B9" t="inlineStr">
        <is>
          <t>Gasto Diario Promedio:</t>
        </is>
      </c>
      <c r="C9" s="30">
        <f>SUMIFS(TRANSACCIONES!I:I, TRANSACCIONES!B:B, "GASTO OPERATIVO", TRANSACCIONES!L:L, "COMPLETADA") / 30</f>
        <v/>
      </c>
    </row>
    <row r="10">
      <c r="B10" t="inlineStr">
        <is>
          <t>Días de Cobertura:</t>
        </is>
      </c>
      <c r="C10" s="31">
        <f>IF(C9&gt;0, C6/C9, 0)</f>
        <v/>
      </c>
      <c r="D10" s="32">
        <f>IF(C10&lt;15, "🚨 CRÍTICO", IF(C10&lt;30, "⚠️ PRECAUCIÓN", "✅ SALUDABLE"))</f>
        <v/>
      </c>
    </row>
    <row r="12">
      <c r="B12" s="8" t="inlineStr">
        <is>
          <t>🏆 TOP 5 CLIENTES (Noviembre)</t>
        </is>
      </c>
    </row>
    <row r="13">
      <c r="B13" s="1" t="inlineStr">
        <is>
          <t>Cliente</t>
        </is>
      </c>
      <c r="C13" s="1" t="inlineStr">
        <is>
          <t>Facturado USD</t>
        </is>
      </c>
    </row>
    <row r="14">
      <c r="B14" t="inlineStr">
        <is>
          <t>Grupo Acción Comercial S.A.</t>
        </is>
      </c>
      <c r="C14" s="30" t="n">
        <v>1689.04</v>
      </c>
    </row>
    <row r="15">
      <c r="B15" t="inlineStr">
        <is>
          <t>VWR International Ltda</t>
        </is>
      </c>
      <c r="C15" s="30" t="n">
        <v>1400</v>
      </c>
    </row>
    <row r="16">
      <c r="B16" t="inlineStr">
        <is>
          <t>Alfipac (Almacén Fiscal Pacífico)</t>
        </is>
      </c>
      <c r="C16" s="30" t="n">
        <v>761.05</v>
      </c>
    </row>
    <row r="17">
      <c r="B17" t="inlineStr">
        <is>
          <t>3-102-887892 SRL</t>
        </is>
      </c>
      <c r="C17" s="30" t="n">
        <v>691.5599999999999</v>
      </c>
    </row>
    <row r="18">
      <c r="B18" t="inlineStr">
        <is>
          <t>Waipio S.A.</t>
        </is>
      </c>
      <c r="C18" s="30" t="n">
        <v>687.27</v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15" customWidth="1" min="8" max="8"/>
    <col width="30" customWidth="1" min="9" max="9"/>
    <col width="15" customWidth="1" min="10" max="10"/>
  </cols>
  <sheetData>
    <row r="1">
      <c r="A1" s="7" t="inlineStr">
        <is>
          <t>SISTEMA DE NORMALIZACIÓN DE ENTIDADES</t>
        </is>
      </c>
    </row>
    <row r="2">
      <c r="A2" s="18" t="inlineStr">
        <is>
          <t>💡 Esta hoja permite normalizar nombres de clientes, proveedores y bancos que aparecen con variaciones</t>
        </is>
      </c>
    </row>
    <row r="4">
      <c r="A4" s="1" t="inlineStr">
        <is>
          <t>Tipo</t>
        </is>
      </c>
      <c r="B4" s="1" t="inlineStr">
        <is>
          <t>Nombre Estándar</t>
        </is>
      </c>
      <c r="C4" s="1" t="inlineStr">
        <is>
          <t>Alias 1</t>
        </is>
      </c>
      <c r="D4" s="1" t="inlineStr">
        <is>
          <t>Alias 2</t>
        </is>
      </c>
      <c r="E4" s="1" t="inlineStr">
        <is>
          <t>Alias 3</t>
        </is>
      </c>
      <c r="F4" s="1" t="inlineStr">
        <is>
          <t>Alias 4</t>
        </is>
      </c>
      <c r="G4" s="1" t="inlineStr">
        <is>
          <t>Alias 5</t>
        </is>
      </c>
      <c r="H4" s="1" t="inlineStr">
        <is>
          <t>Categoría</t>
        </is>
      </c>
      <c r="I4" s="1" t="inlineStr">
        <is>
          <t>Notas</t>
        </is>
      </c>
      <c r="J4" s="1" t="inlineStr">
        <is>
          <t>Última Actualización</t>
        </is>
      </c>
    </row>
    <row r="5">
      <c r="A5" t="inlineStr">
        <is>
          <t>Cliente</t>
        </is>
      </c>
      <c r="B5" t="inlineStr">
        <is>
          <t>Grupo Acción Comercial S.A.</t>
        </is>
      </c>
      <c r="C5" s="3" t="inlineStr">
        <is>
          <t>Grupo Acción Comercial</t>
        </is>
      </c>
      <c r="D5" s="3" t="inlineStr">
        <is>
          <t>GACS</t>
        </is>
      </c>
      <c r="E5" s="3" t="n"/>
      <c r="F5" s="3" t="n"/>
      <c r="G5" s="3" t="n"/>
      <c r="H5" t="inlineStr">
        <is>
          <t>VIP</t>
        </is>
      </c>
      <c r="I5" t="inlineStr">
        <is>
          <t>Facturación Nov: $1689.04</t>
        </is>
      </c>
      <c r="J5" t="inlineStr">
        <is>
          <t>13/11/2025</t>
        </is>
      </c>
    </row>
    <row r="6">
      <c r="A6" t="inlineStr">
        <is>
          <t>Cliente</t>
        </is>
      </c>
      <c r="B6" t="inlineStr">
        <is>
          <t>VWR International Ltda</t>
        </is>
      </c>
      <c r="C6" s="3" t="inlineStr">
        <is>
          <t>VWR International</t>
        </is>
      </c>
      <c r="D6" s="3" t="inlineStr">
        <is>
          <t>IL</t>
        </is>
      </c>
      <c r="E6" s="3" t="n"/>
      <c r="F6" s="3" t="n"/>
      <c r="G6" s="3" t="n"/>
      <c r="H6" t="inlineStr">
        <is>
          <t>VIP</t>
        </is>
      </c>
      <c r="I6" t="inlineStr">
        <is>
          <t>Facturación Nov: $1400.00</t>
        </is>
      </c>
      <c r="J6" t="inlineStr">
        <is>
          <t>13/11/2025</t>
        </is>
      </c>
    </row>
    <row r="7">
      <c r="A7" t="inlineStr">
        <is>
          <t>Cliente</t>
        </is>
      </c>
      <c r="B7" t="inlineStr">
        <is>
          <t>Alfipac (Almacén Fiscal Pacífico)</t>
        </is>
      </c>
      <c r="C7" s="3" t="inlineStr"/>
      <c r="D7" s="3" t="inlineStr">
        <is>
          <t>A(FP</t>
        </is>
      </c>
      <c r="E7" s="3" t="n"/>
      <c r="F7" s="3" t="n"/>
      <c r="G7" s="3" t="n"/>
      <c r="H7" t="inlineStr">
        <is>
          <t>VIP</t>
        </is>
      </c>
      <c r="I7" t="inlineStr">
        <is>
          <t>Facturación Nov: $761.05</t>
        </is>
      </c>
      <c r="J7" t="inlineStr">
        <is>
          <t>13/11/2025</t>
        </is>
      </c>
    </row>
    <row r="8">
      <c r="A8" t="inlineStr">
        <is>
          <t>Cliente</t>
        </is>
      </c>
      <c r="B8" t="inlineStr">
        <is>
          <t>3-102-887892 SRL</t>
        </is>
      </c>
      <c r="C8" s="3" t="inlineStr"/>
      <c r="D8" s="3" t="n"/>
      <c r="E8" s="3" t="n"/>
      <c r="F8" s="3" t="n"/>
      <c r="G8" s="3" t="n"/>
      <c r="H8" t="inlineStr">
        <is>
          <t>Regular</t>
        </is>
      </c>
      <c r="I8" t="inlineStr">
        <is>
          <t>Facturación Nov: $691.56</t>
        </is>
      </c>
      <c r="J8" t="inlineStr">
        <is>
          <t>13/11/2025</t>
        </is>
      </c>
    </row>
    <row r="9">
      <c r="A9" t="inlineStr">
        <is>
          <t>Cliente</t>
        </is>
      </c>
      <c r="B9" t="inlineStr">
        <is>
          <t>Waipio S.A.</t>
        </is>
      </c>
      <c r="C9" s="3" t="inlineStr">
        <is>
          <t>Waipio</t>
        </is>
      </c>
      <c r="D9" s="3" t="n"/>
      <c r="E9" s="3" t="n"/>
      <c r="F9" s="3" t="n"/>
      <c r="G9" s="3" t="n"/>
      <c r="H9" t="inlineStr">
        <is>
          <t>Regular</t>
        </is>
      </c>
      <c r="I9" t="inlineStr">
        <is>
          <t>Facturación Nov: $687.27</t>
        </is>
      </c>
      <c r="J9" t="inlineStr">
        <is>
          <t>13/11/2025</t>
        </is>
      </c>
    </row>
    <row r="10">
      <c r="A10" t="inlineStr">
        <is>
          <t>Cliente</t>
        </is>
      </c>
      <c r="B10" t="inlineStr">
        <is>
          <t>Centro Integral Oncología CIO SRL</t>
        </is>
      </c>
      <c r="C10" s="3" t="inlineStr"/>
      <c r="D10" s="3" t="inlineStr">
        <is>
          <t>CIO</t>
        </is>
      </c>
      <c r="E10" s="3" t="n"/>
      <c r="F10" s="3" t="n"/>
      <c r="G10" s="3" t="n"/>
      <c r="H10" t="inlineStr">
        <is>
          <t>Regular</t>
        </is>
      </c>
      <c r="I10" t="inlineStr">
        <is>
          <t>Facturación Nov: $687.05</t>
        </is>
      </c>
      <c r="J10" t="inlineStr">
        <is>
          <t>13/11/2025</t>
        </is>
      </c>
    </row>
    <row r="11">
      <c r="A11" t="inlineStr">
        <is>
          <t>Cliente</t>
        </is>
      </c>
      <c r="B11" t="inlineStr">
        <is>
          <t>Ortodoncia de la Cruz</t>
        </is>
      </c>
      <c r="C11" s="3" t="inlineStr"/>
      <c r="D11" s="3" t="inlineStr">
        <is>
          <t>OC</t>
        </is>
      </c>
      <c r="E11" s="3" t="n"/>
      <c r="F11" s="3" t="n"/>
      <c r="G11" s="3" t="n"/>
      <c r="H11" t="inlineStr">
        <is>
          <t>Regular</t>
        </is>
      </c>
      <c r="I11" t="inlineStr">
        <is>
          <t>Facturación Nov: $494.50</t>
        </is>
      </c>
      <c r="J11" t="inlineStr">
        <is>
          <t>13/11/2025</t>
        </is>
      </c>
    </row>
    <row r="12">
      <c r="A12" t="inlineStr">
        <is>
          <t>Cliente</t>
        </is>
      </c>
      <c r="B12" t="inlineStr">
        <is>
          <t>Global Automotriz GACR S.A.</t>
        </is>
      </c>
      <c r="C12" s="3" t="inlineStr">
        <is>
          <t>Global Automotriz GACR</t>
        </is>
      </c>
      <c r="D12" s="3" t="inlineStr">
        <is>
          <t>GAGS</t>
        </is>
      </c>
      <c r="E12" s="3" t="n"/>
      <c r="F12" s="3" t="n"/>
      <c r="G12" s="3" t="n"/>
      <c r="H12" t="inlineStr">
        <is>
          <t>Regular</t>
        </is>
      </c>
      <c r="I12" t="inlineStr">
        <is>
          <t>Facturación Nov: $439.61</t>
        </is>
      </c>
      <c r="J12" t="inlineStr">
        <is>
          <t>13/11/2025</t>
        </is>
      </c>
    </row>
    <row r="13">
      <c r="A13" t="inlineStr">
        <is>
          <t>Cliente</t>
        </is>
      </c>
      <c r="B13" t="inlineStr">
        <is>
          <t>Solusa Consolidators</t>
        </is>
      </c>
      <c r="C13" s="3" t="inlineStr"/>
      <c r="D13" s="3" t="n"/>
      <c r="E13" s="3" t="n"/>
      <c r="F13" s="3" t="n"/>
      <c r="G13" s="3" t="n"/>
      <c r="H13" t="inlineStr">
        <is>
          <t>Regular</t>
        </is>
      </c>
      <c r="I13" t="inlineStr">
        <is>
          <t>Facturación Nov: $378.35</t>
        </is>
      </c>
      <c r="J13" t="inlineStr">
        <is>
          <t>13/11/2025</t>
        </is>
      </c>
    </row>
    <row r="14">
      <c r="A14" t="inlineStr">
        <is>
          <t>Cliente</t>
        </is>
      </c>
      <c r="B14" t="inlineStr">
        <is>
          <t>Cemso</t>
        </is>
      </c>
      <c r="C14" s="3" t="inlineStr"/>
      <c r="D14" s="3" t="n"/>
      <c r="E14" s="3" t="n"/>
      <c r="F14" s="3" t="n"/>
      <c r="G14" s="3" t="n"/>
      <c r="H14" t="inlineStr">
        <is>
          <t>Regular</t>
        </is>
      </c>
      <c r="I14" t="inlineStr">
        <is>
          <t>Facturación Nov: $333.92</t>
        </is>
      </c>
      <c r="J14" t="inlineStr">
        <is>
          <t>13/11/2025</t>
        </is>
      </c>
    </row>
    <row r="15">
      <c r="A15" t="inlineStr">
        <is>
          <t>Cliente</t>
        </is>
      </c>
      <c r="B15" t="inlineStr">
        <is>
          <t>Acacia (Asoc. CR Agencias Carga)</t>
        </is>
      </c>
      <c r="C15" s="3" t="inlineStr"/>
      <c r="D15" s="3" t="inlineStr">
        <is>
          <t>A(AC</t>
        </is>
      </c>
      <c r="E15" s="3" t="n"/>
      <c r="F15" s="3" t="n"/>
      <c r="G15" s="3" t="n"/>
      <c r="H15" t="inlineStr">
        <is>
          <t>Regular</t>
        </is>
      </c>
      <c r="I15" t="inlineStr">
        <is>
          <t>Facturación Nov: $333.35</t>
        </is>
      </c>
      <c r="J15" t="inlineStr">
        <is>
          <t>13/11/2025</t>
        </is>
      </c>
    </row>
    <row r="16">
      <c r="A16" t="inlineStr">
        <is>
          <t>Cliente</t>
        </is>
      </c>
      <c r="B16" t="inlineStr">
        <is>
          <t>Rodriguez Rojas Carlos Humberto</t>
        </is>
      </c>
      <c r="C16" s="3" t="inlineStr"/>
      <c r="D16" s="3" t="inlineStr">
        <is>
          <t>RRCH</t>
        </is>
      </c>
      <c r="E16" s="3" t="n"/>
      <c r="F16" s="3" t="n"/>
      <c r="G16" s="3" t="n"/>
      <c r="H16" t="inlineStr">
        <is>
          <t>Regular</t>
        </is>
      </c>
      <c r="I16" t="inlineStr">
        <is>
          <t>Facturación Nov: $282.50</t>
        </is>
      </c>
      <c r="J16" t="inlineStr">
        <is>
          <t>13/11/2025</t>
        </is>
      </c>
    </row>
    <row r="17">
      <c r="A17" t="inlineStr">
        <is>
          <t>Cliente</t>
        </is>
      </c>
      <c r="B17" t="inlineStr">
        <is>
          <t>Supply Net C.R.W.H S.A.</t>
        </is>
      </c>
      <c r="C17" s="3" t="inlineStr">
        <is>
          <t>Supply Net C.R.W.H</t>
        </is>
      </c>
      <c r="D17" s="3" t="inlineStr">
        <is>
          <t>SCS</t>
        </is>
      </c>
      <c r="E17" s="3" t="n"/>
      <c r="F17" s="3" t="n"/>
      <c r="G17" s="3" t="n"/>
      <c r="H17" t="inlineStr">
        <is>
          <t>Regular</t>
        </is>
      </c>
      <c r="I17" t="inlineStr">
        <is>
          <t>Facturación Nov: $276.85</t>
        </is>
      </c>
      <c r="J17" t="inlineStr">
        <is>
          <t>13/11/2025</t>
        </is>
      </c>
    </row>
    <row r="18">
      <c r="A18" t="inlineStr">
        <is>
          <t>Cliente</t>
        </is>
      </c>
      <c r="B18" t="inlineStr">
        <is>
          <t>Operation Managment Tierra Magnifica</t>
        </is>
      </c>
      <c r="C18" s="3" t="inlineStr"/>
      <c r="D18" s="3" t="inlineStr">
        <is>
          <t>OMTM</t>
        </is>
      </c>
      <c r="E18" s="3" t="n"/>
      <c r="F18" s="3" t="n"/>
      <c r="G18" s="3" t="n"/>
      <c r="H18" t="inlineStr">
        <is>
          <t>Regular</t>
        </is>
      </c>
      <c r="I18" t="inlineStr">
        <is>
          <t>Facturación Nov: $209.06</t>
        </is>
      </c>
      <c r="J18" t="inlineStr">
        <is>
          <t>13/11/2025</t>
        </is>
      </c>
    </row>
    <row r="19">
      <c r="A19" t="inlineStr">
        <is>
          <t>Cliente</t>
        </is>
      </c>
      <c r="B19" t="inlineStr">
        <is>
          <t>Gentra de Costa Rica S.A.</t>
        </is>
      </c>
      <c r="C19" s="3" t="inlineStr">
        <is>
          <t>Gentra de Costa Rica</t>
        </is>
      </c>
      <c r="D19" s="3" t="inlineStr">
        <is>
          <t>GCRS</t>
        </is>
      </c>
      <c r="E19" s="3" t="n"/>
      <c r="F19" s="3" t="n"/>
      <c r="G19" s="3" t="n"/>
      <c r="H19" t="inlineStr">
        <is>
          <t>Regular</t>
        </is>
      </c>
      <c r="I19" t="inlineStr">
        <is>
          <t>Facturación Nov: $183.63</t>
        </is>
      </c>
      <c r="J19" t="inlineStr">
        <is>
          <t>13/11/2025</t>
        </is>
      </c>
    </row>
    <row r="20">
      <c r="A20" t="inlineStr">
        <is>
          <t>Cliente</t>
        </is>
      </c>
      <c r="B20" t="inlineStr">
        <is>
          <t>Sevilla Navarro Edgar</t>
        </is>
      </c>
      <c r="C20" s="3" t="inlineStr"/>
      <c r="D20" s="3" t="inlineStr">
        <is>
          <t>SNE</t>
        </is>
      </c>
      <c r="E20" s="3" t="n"/>
      <c r="F20" s="3" t="n"/>
      <c r="G20" s="3" t="n"/>
      <c r="H20" t="inlineStr">
        <is>
          <t>Regular</t>
        </is>
      </c>
      <c r="I20" t="inlineStr">
        <is>
          <t>Facturación Nov: $169.50</t>
        </is>
      </c>
      <c r="J20" t="inlineStr">
        <is>
          <t>13/11/2025</t>
        </is>
      </c>
    </row>
    <row r="21">
      <c r="A21" t="inlineStr">
        <is>
          <t>Cliente</t>
        </is>
      </c>
      <c r="B21" t="inlineStr">
        <is>
          <t>Gomez Ajoy Edgar Luis</t>
        </is>
      </c>
      <c r="C21" s="3" t="inlineStr"/>
      <c r="D21" s="3" t="inlineStr">
        <is>
          <t>GAEL</t>
        </is>
      </c>
      <c r="E21" s="3" t="n"/>
      <c r="F21" s="3" t="n"/>
      <c r="G21" s="3" t="n"/>
      <c r="H21" t="inlineStr">
        <is>
          <t>Regular</t>
        </is>
      </c>
      <c r="I21" t="inlineStr">
        <is>
          <t>Facturación Nov: $113.00</t>
        </is>
      </c>
      <c r="J21" t="inlineStr">
        <is>
          <t>13/11/2025</t>
        </is>
      </c>
    </row>
    <row r="22">
      <c r="A22" t="inlineStr">
        <is>
          <t>Cliente</t>
        </is>
      </c>
      <c r="B22" t="inlineStr">
        <is>
          <t>Melendez Morales Monica</t>
        </is>
      </c>
      <c r="C22" s="3" t="inlineStr"/>
      <c r="D22" s="3" t="inlineStr">
        <is>
          <t>MMM</t>
        </is>
      </c>
      <c r="E22" s="3" t="n"/>
      <c r="F22" s="3" t="n"/>
      <c r="G22" s="3" t="n"/>
      <c r="H22" t="inlineStr">
        <is>
          <t>Regular</t>
        </is>
      </c>
      <c r="I22" t="inlineStr">
        <is>
          <t>Facturación Nov: $113.00</t>
        </is>
      </c>
      <c r="J22" t="inlineStr">
        <is>
          <t>13/11/2025</t>
        </is>
      </c>
    </row>
    <row r="23">
      <c r="A23" t="inlineStr">
        <is>
          <t>Cliente</t>
        </is>
      </c>
      <c r="B23" t="inlineStr">
        <is>
          <t>Bandogo Soluciones Tecnológicas S.A.</t>
        </is>
      </c>
      <c r="C23" s="3" t="inlineStr">
        <is>
          <t>Bandogo Soluciones Tecnológicas</t>
        </is>
      </c>
      <c r="D23" s="3" t="inlineStr">
        <is>
          <t>BSTS</t>
        </is>
      </c>
      <c r="E23" s="3" t="n"/>
      <c r="F23" s="3" t="n"/>
      <c r="G23" s="3" t="n"/>
      <c r="H23" t="inlineStr">
        <is>
          <t>Regular</t>
        </is>
      </c>
      <c r="I23" t="inlineStr">
        <is>
          <t>Facturación Nov: $67.80</t>
        </is>
      </c>
      <c r="J23" t="inlineStr">
        <is>
          <t>13/11/2025</t>
        </is>
      </c>
    </row>
    <row r="24">
      <c r="A24" t="inlineStr">
        <is>
          <t>Cliente</t>
        </is>
      </c>
      <c r="B24" t="inlineStr">
        <is>
          <t>CPF Servicios Radiológicos S.A.</t>
        </is>
      </c>
      <c r="C24" s="3" t="inlineStr">
        <is>
          <t>CPF Servicios Radiológicos</t>
        </is>
      </c>
      <c r="D24" s="3" t="inlineStr">
        <is>
          <t>SRS</t>
        </is>
      </c>
      <c r="E24" s="3" t="n"/>
      <c r="F24" s="3" t="n"/>
      <c r="G24" s="3" t="n"/>
      <c r="H24" t="inlineStr">
        <is>
          <t>Regular</t>
        </is>
      </c>
      <c r="I24" t="inlineStr">
        <is>
          <t>Facturación Nov: $56.50</t>
        </is>
      </c>
      <c r="J24" t="inlineStr">
        <is>
          <t>13/11/2025</t>
        </is>
      </c>
    </row>
    <row r="25">
      <c r="A25" t="inlineStr">
        <is>
          <t>Cliente</t>
        </is>
      </c>
      <c r="B25" t="inlineStr">
        <is>
          <t>Ortodec S.A.</t>
        </is>
      </c>
      <c r="C25" s="3" t="inlineStr">
        <is>
          <t>Ortodec</t>
        </is>
      </c>
      <c r="D25" s="3" t="n"/>
      <c r="E25" s="3" t="n"/>
      <c r="F25" s="3" t="n"/>
      <c r="G25" s="3" t="n"/>
      <c r="H25" t="inlineStr">
        <is>
          <t>Regular</t>
        </is>
      </c>
      <c r="I25" t="inlineStr">
        <is>
          <t>Facturación Nov: $56.50</t>
        </is>
      </c>
      <c r="J25" t="inlineStr">
        <is>
          <t>13/11/2025</t>
        </is>
      </c>
    </row>
    <row r="26">
      <c r="A26" t="inlineStr">
        <is>
          <t>Cliente</t>
        </is>
      </c>
      <c r="B26" t="inlineStr">
        <is>
          <t>Perez Morales Francisco</t>
        </is>
      </c>
      <c r="C26" s="3" t="inlineStr"/>
      <c r="D26" s="3" t="inlineStr">
        <is>
          <t>PMF</t>
        </is>
      </c>
      <c r="E26" s="3" t="n"/>
      <c r="F26" s="3" t="n"/>
      <c r="G26" s="3" t="n"/>
      <c r="H26" t="inlineStr">
        <is>
          <t>Regular</t>
        </is>
      </c>
      <c r="I26" t="inlineStr">
        <is>
          <t>Facturación Nov: $42.38</t>
        </is>
      </c>
      <c r="J26" t="inlineStr">
        <is>
          <t>13/11/2025</t>
        </is>
      </c>
    </row>
    <row r="27">
      <c r="A27" t="inlineStr">
        <is>
          <t>Proveedor</t>
        </is>
      </c>
      <c r="B27" t="inlineStr">
        <is>
          <t>Intcomex Costa Rica</t>
        </is>
      </c>
      <c r="C27" s="3" t="n"/>
      <c r="D27" s="3" t="n"/>
      <c r="E27" s="3" t="n"/>
      <c r="F27" s="3" t="n"/>
      <c r="G27" s="3" t="n"/>
      <c r="H27" t="inlineStr">
        <is>
          <t>Principal</t>
        </is>
      </c>
      <c r="J27" t="inlineStr">
        <is>
          <t>13/11/2025</t>
        </is>
      </c>
    </row>
    <row r="28">
      <c r="A28" t="inlineStr">
        <is>
          <t>Proveedor</t>
        </is>
      </c>
      <c r="B28" t="inlineStr">
        <is>
          <t>Eurocomp S.A.</t>
        </is>
      </c>
      <c r="C28" s="3" t="n"/>
      <c r="D28" s="3" t="n"/>
      <c r="E28" s="3" t="n"/>
      <c r="F28" s="3" t="n"/>
      <c r="G28" s="3" t="n"/>
      <c r="H28" t="inlineStr">
        <is>
          <t>Principal</t>
        </is>
      </c>
      <c r="J28" t="inlineStr">
        <is>
          <t>13/11/2025</t>
        </is>
      </c>
    </row>
    <row r="29">
      <c r="A29" t="inlineStr">
        <is>
          <t>Proveedor</t>
        </is>
      </c>
      <c r="B29" t="inlineStr">
        <is>
          <t>CompuEconómicos</t>
        </is>
      </c>
      <c r="C29" s="3" t="n"/>
      <c r="D29" s="3" t="n"/>
      <c r="E29" s="3" t="n"/>
      <c r="F29" s="3" t="n"/>
      <c r="G29" s="3" t="n"/>
      <c r="H29" t="inlineStr">
        <is>
          <t>Principal</t>
        </is>
      </c>
      <c r="J29" t="inlineStr">
        <is>
          <t>13/11/2025</t>
        </is>
      </c>
    </row>
    <row r="30">
      <c r="A30" t="inlineStr">
        <is>
          <t>Proveedor</t>
        </is>
      </c>
      <c r="B30" t="inlineStr">
        <is>
          <t>TD Synex</t>
        </is>
      </c>
      <c r="C30" s="3" t="n"/>
      <c r="D30" s="3" t="n"/>
      <c r="E30" s="3" t="n"/>
      <c r="F30" s="3" t="n"/>
      <c r="G30" s="3" t="n"/>
      <c r="H30" t="inlineStr">
        <is>
          <t>Principal</t>
        </is>
      </c>
      <c r="J30" t="inlineStr">
        <is>
          <t>13/11/2025</t>
        </is>
      </c>
    </row>
    <row r="31">
      <c r="A31" t="inlineStr">
        <is>
          <t>Proveedor</t>
        </is>
      </c>
      <c r="B31" t="inlineStr">
        <is>
          <t>ICD Soft</t>
        </is>
      </c>
      <c r="C31" s="3" t="n"/>
      <c r="D31" s="3" t="n"/>
      <c r="E31" s="3" t="n"/>
      <c r="F31" s="3" t="n"/>
      <c r="G31" s="3" t="n"/>
      <c r="H31" t="inlineStr">
        <is>
          <t>Principal</t>
        </is>
      </c>
      <c r="J31" t="inlineStr">
        <is>
          <t>13/11/2025</t>
        </is>
      </c>
    </row>
    <row r="32">
      <c r="A32" t="inlineStr">
        <is>
          <t>Banco</t>
        </is>
      </c>
      <c r="B32" t="inlineStr">
        <is>
          <t>BNCR CRC Ahorros (***8618)</t>
        </is>
      </c>
      <c r="C32" s="3" t="n"/>
      <c r="D32" s="3" t="n"/>
      <c r="E32" s="3" t="n"/>
      <c r="F32" s="3" t="n"/>
      <c r="G32" s="3" t="n"/>
      <c r="H32" t="inlineStr">
        <is>
          <t>Banco</t>
        </is>
      </c>
      <c r="I32" t="inlineStr">
        <is>
          <t>Moneda: CRC</t>
        </is>
      </c>
      <c r="J32" t="inlineStr">
        <is>
          <t>13/11/2025</t>
        </is>
      </c>
    </row>
    <row r="33">
      <c r="A33" t="inlineStr">
        <is>
          <t>Banco</t>
        </is>
      </c>
      <c r="B33" t="inlineStr">
        <is>
          <t>BNCR USD Ahorros (***1066)</t>
        </is>
      </c>
      <c r="C33" s="3" t="n"/>
      <c r="D33" s="3" t="n"/>
      <c r="E33" s="3" t="n"/>
      <c r="F33" s="3" t="n"/>
      <c r="G33" s="3" t="n"/>
      <c r="H33" t="inlineStr">
        <is>
          <t>Banco</t>
        </is>
      </c>
      <c r="I33" t="inlineStr">
        <is>
          <t>Moneda: USD</t>
        </is>
      </c>
      <c r="J33" t="inlineStr">
        <is>
          <t>13/11/2025</t>
        </is>
      </c>
    </row>
    <row r="34">
      <c r="A34" t="inlineStr">
        <is>
          <t>Banco</t>
        </is>
      </c>
      <c r="B34" t="inlineStr">
        <is>
          <t>BNCR CRC Corriente (***2186)</t>
        </is>
      </c>
      <c r="C34" s="3" t="n"/>
      <c r="D34" s="3" t="n"/>
      <c r="E34" s="3" t="n"/>
      <c r="F34" s="3" t="n"/>
      <c r="G34" s="3" t="n"/>
      <c r="H34" t="inlineStr">
        <is>
          <t>Banco</t>
        </is>
      </c>
      <c r="I34" t="inlineStr">
        <is>
          <t>Moneda: CRC</t>
        </is>
      </c>
      <c r="J34" t="inlineStr">
        <is>
          <t>13/11/2025</t>
        </is>
      </c>
    </row>
    <row r="35">
      <c r="A35" t="inlineStr">
        <is>
          <t>Banco</t>
        </is>
      </c>
      <c r="B35" t="inlineStr">
        <is>
          <t>BNCR USD Corriente (***9589)</t>
        </is>
      </c>
      <c r="C35" s="3" t="n"/>
      <c r="D35" s="3" t="n"/>
      <c r="E35" s="3" t="n"/>
      <c r="F35" s="3" t="n"/>
      <c r="G35" s="3" t="n"/>
      <c r="H35" t="inlineStr">
        <is>
          <t>Banco</t>
        </is>
      </c>
      <c r="I35" t="inlineStr">
        <is>
          <t>Moneda: USD</t>
        </is>
      </c>
      <c r="J35" t="inlineStr">
        <is>
          <t>13/11/2025</t>
        </is>
      </c>
    </row>
    <row r="36">
      <c r="A36" t="inlineStr">
        <is>
          <t>Banco</t>
        </is>
      </c>
      <c r="B36" t="inlineStr">
        <is>
          <t>BNCR USD Corriente (***1112)</t>
        </is>
      </c>
      <c r="C36" s="3" t="n"/>
      <c r="D36" s="3" t="n"/>
      <c r="E36" s="3" t="n"/>
      <c r="F36" s="3" t="n"/>
      <c r="G36" s="3" t="n"/>
      <c r="H36" t="inlineStr">
        <is>
          <t>Banco</t>
        </is>
      </c>
      <c r="I36" t="inlineStr">
        <is>
          <t>Moneda: USD</t>
        </is>
      </c>
      <c r="J36" t="inlineStr">
        <is>
          <t>13/11/2025</t>
        </is>
      </c>
    </row>
    <row r="37">
      <c r="A37" t="inlineStr">
        <is>
          <t>Banco</t>
        </is>
      </c>
      <c r="B37" t="inlineStr">
        <is>
          <t>Promerica CRC SINPE (***1708)</t>
        </is>
      </c>
      <c r="C37" s="3" t="n"/>
      <c r="D37" s="3" t="n"/>
      <c r="E37" s="3" t="n"/>
      <c r="F37" s="3" t="n"/>
      <c r="G37" s="3" t="n"/>
      <c r="H37" t="inlineStr">
        <is>
          <t>Banco</t>
        </is>
      </c>
      <c r="I37" t="inlineStr">
        <is>
          <t>Moneda: CRC</t>
        </is>
      </c>
      <c r="J37" t="inlineStr">
        <is>
          <t>13/11/2025</t>
        </is>
      </c>
    </row>
    <row r="38">
      <c r="A38" t="inlineStr">
        <is>
          <t>Banco</t>
        </is>
      </c>
      <c r="B38" t="inlineStr">
        <is>
          <t>Promerica USD Ahorros (***1691)</t>
        </is>
      </c>
      <c r="C38" s="3" t="n"/>
      <c r="D38" s="3" t="n"/>
      <c r="E38" s="3" t="n"/>
      <c r="F38" s="3" t="n"/>
      <c r="G38" s="3" t="n"/>
      <c r="H38" t="inlineStr">
        <is>
          <t>Banco</t>
        </is>
      </c>
      <c r="I38" t="inlineStr">
        <is>
          <t>Moneda: USD</t>
        </is>
      </c>
      <c r="J38" t="inlineStr">
        <is>
          <t>13/11/2025</t>
        </is>
      </c>
    </row>
    <row r="39">
      <c r="A39" t="inlineStr">
        <is>
          <t>Banco</t>
        </is>
      </c>
      <c r="B39" t="inlineStr">
        <is>
          <t>Promerica CRC CC Corp (***4229)</t>
        </is>
      </c>
      <c r="C39" s="3" t="n"/>
      <c r="D39" s="3" t="n"/>
      <c r="E39" s="3" t="n"/>
      <c r="F39" s="3" t="n"/>
      <c r="G39" s="3" t="n"/>
      <c r="H39" t="inlineStr">
        <is>
          <t>Banco</t>
        </is>
      </c>
      <c r="I39" t="inlineStr">
        <is>
          <t>Moneda: CRC</t>
        </is>
      </c>
      <c r="J39" t="inlineStr">
        <is>
          <t>13/11/2025</t>
        </is>
      </c>
    </row>
    <row r="40">
      <c r="A40" t="inlineStr">
        <is>
          <t>Banco</t>
        </is>
      </c>
      <c r="B40" t="inlineStr">
        <is>
          <t>Promerica USD CC Corp (***1774)</t>
        </is>
      </c>
      <c r="C40" s="3" t="n"/>
      <c r="D40" s="3" t="n"/>
      <c r="E40" s="3" t="n"/>
      <c r="F40" s="3" t="n"/>
      <c r="G40" s="3" t="n"/>
      <c r="H40" t="inlineStr">
        <is>
          <t>Banco</t>
        </is>
      </c>
      <c r="I40" t="inlineStr">
        <is>
          <t>Moneda: USD</t>
        </is>
      </c>
      <c r="J40" t="inlineStr">
        <is>
          <t>13/11/2025</t>
        </is>
      </c>
    </row>
    <row r="43">
      <c r="A43" s="12" t="inlineStr">
        <is>
          <t>📋 INSTRUCCIONES:</t>
        </is>
      </c>
    </row>
    <row r="44">
      <c r="A44" s="18" t="inlineStr">
        <is>
          <t>1. Cuando aparezca una variación de nombre, agrégala como 'Alias' en la fila correspondiente</t>
        </is>
      </c>
    </row>
    <row r="45">
      <c r="A45" s="18" t="inlineStr">
        <is>
          <t>2. Ejecuta: python scripts/normalizar_entidades_universal_v3.py</t>
        </is>
      </c>
    </row>
    <row r="46">
      <c r="A46" s="18" t="inlineStr">
        <is>
          <t>3. El script unificará todos los nombres automáticamente</t>
        </is>
      </c>
    </row>
  </sheetData>
  <mergeCells count="5">
    <mergeCell ref="A44:J44"/>
    <mergeCell ref="A45:J45"/>
    <mergeCell ref="A1:J1"/>
    <mergeCell ref="A46:J46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22" t="inlineStr">
        <is>
          <t>CONFIGURACIÓN DEL SISTEMA</t>
        </is>
      </c>
    </row>
    <row r="3">
      <c r="A3" s="12" t="inlineStr">
        <is>
          <t>Versión</t>
        </is>
      </c>
      <c r="B3" t="inlineStr">
        <is>
          <t>3.0.0 MVP</t>
        </is>
      </c>
    </row>
    <row r="4">
      <c r="A4" s="12" t="inlineStr">
        <is>
          <t>Fecha Creación</t>
        </is>
      </c>
      <c r="B4" t="inlineStr">
        <is>
          <t>13/11/2025 00:19</t>
        </is>
      </c>
    </row>
    <row r="5">
      <c r="A5" s="12" t="inlineStr">
        <is>
          <t>Propietario</t>
        </is>
      </c>
      <c r="B5" t="inlineStr">
        <is>
          <t>Alvaro Velasco - AVN (AlvaroVelascoNet)</t>
        </is>
      </c>
    </row>
    <row r="6">
      <c r="A6" s="12" t="inlineStr">
        <is>
          <t>Tipo Cambio por Defecto</t>
        </is>
      </c>
      <c r="B6" t="inlineStr">
        <is>
          <t>517.50</t>
        </is>
      </c>
    </row>
    <row r="7">
      <c r="A7" s="12" t="inlineStr">
        <is>
          <t>Período Fiscal</t>
        </is>
      </c>
      <c r="B7" t="inlineStr">
        <is>
          <t>2025</t>
        </is>
      </c>
    </row>
    <row r="8">
      <c r="A8" s="12" t="inlineStr">
        <is>
          <t>Mes Activo</t>
        </is>
      </c>
      <c r="B8" t="inlineStr">
        <is>
          <t>Noviembre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2025-11-13T00:19:44Z</dcterms:created>
  <dcterms:modified xmlns:dcterms="http://purl.org/dc/terms/" xmlns:xsi="http://www.w3.org/2001/XMLSchema-instance" xsi:type="dcterms:W3CDTF">2025-11-13T00:19:44Z</dcterms:modified>
</cp:coreProperties>
</file>