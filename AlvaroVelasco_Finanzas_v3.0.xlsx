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 HH:MM"/>
    <numFmt numFmtId="165" formatCode="DD/MM/YYYY"/>
    <numFmt numFmtId="166" formatCode="$#,##0.00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4"/>
    </font>
    <font>
      <b val="1"/>
    </font>
    <font>
      <name val="Calibri"/>
      <i val="1"/>
      <sz val="9"/>
    </font>
    <font>
      <name val="Calibri"/>
      <b val="1"/>
      <sz val="16"/>
    </font>
    <font>
      <b val="1"/>
      <sz val="12"/>
    </font>
    <font>
      <b val="1"/>
      <sz val="14"/>
    </font>
    <font>
      <b val="1"/>
      <sz val="11"/>
    </font>
    <font>
      <b val="1"/>
      <color rgb="00FF0000"/>
      <sz val="12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4" fontId="2" fillId="4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3" fillId="0" borderId="0" pivotButton="0" quotePrefix="0" xfId="0"/>
    <xf numFmtId="4" fontId="2" fillId="3" borderId="1" applyAlignment="1" pivotButton="0" quotePrefix="0" xfId="0">
      <alignment horizontal="right" vertical="center"/>
    </xf>
    <xf numFmtId="0" fontId="4" fillId="0" borderId="0" pivotButton="0" quotePrefix="0" xfId="0"/>
    <xf numFmtId="4" fontId="4" fillId="5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164" fontId="5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166" fontId="8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166" fontId="0" fillId="0" borderId="0" pivotButton="0" quotePrefix="0" xfId="0"/>
    <xf numFmtId="167" fontId="8" fillId="0" borderId="0" pivotButton="0" quotePrefix="0" xfId="0"/>
    <xf numFmtId="0" fontId="9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tipo de cambio del día.
Si dejas vacío, se usará 540 por defecto.
Formato: 540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D4" authorId="0" shapeId="0">
      <text>
        <t>💡 SALDO INICIAL
Ingresa el saldo al inicio del mes.
Si es la primera vez: Ingresa saldo al 01/Nov/2025
Si migras desde v2.0: Usa saldo final de Octubre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30" customWidth="1" min="4" max="4"/>
    <col width="28" customWidth="1" min="5" max="5"/>
    <col width="30" customWidth="1" min="6" max="6"/>
    <col width="12" customWidth="1" min="7" max="7"/>
    <col width="12" customWidth="1" min="8" max="8"/>
    <col width="12" customWidth="1" min="9" max="9"/>
    <col width="10" customWidth="1" min="10" max="10"/>
    <col width="15" customWidth="1" min="11" max="11"/>
    <col width="12" customWidth="1" min="12" max="12"/>
    <col width="8" customWidth="1" min="13" max="13"/>
    <col width="15" customWidth="1" min="14" max="14"/>
    <col width="25" customWidth="1" min="15" max="15"/>
    <col width="12" customWidth="1" min="16" max="16"/>
    <col width="12" customWidth="1" min="17" max="17"/>
    <col width="12" customWidth="1" min="18" max="18"/>
    <col width="15" customWidth="1" min="19" max="19"/>
    <col width="10" customWidth="1" min="20" max="20"/>
  </cols>
  <sheetData>
    <row r="1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2" t="n"/>
      <c r="B2" s="3" t="n"/>
      <c r="C2" s="3" t="n"/>
      <c r="D2" s="3" t="n"/>
      <c r="E2" s="3" t="n"/>
      <c r="F2" s="3" t="n"/>
      <c r="G2" s="3" t="n"/>
      <c r="H2" s="4" t="n"/>
      <c r="I2" s="4" t="n"/>
      <c r="J2" s="4" t="n">
        <v>540</v>
      </c>
      <c r="K2" s="3" t="n"/>
      <c r="L2" s="3" t="n"/>
      <c r="M2" s="3" t="n"/>
      <c r="N2" s="3" t="n"/>
      <c r="O2" s="3" t="n"/>
      <c r="P2" s="3" t="n"/>
      <c r="Q2" s="5">
        <f>NOW()</f>
        <v/>
      </c>
      <c r="S2" s="6">
        <f>IF(
COUNTIFS(
$A:$A, A2,
$E:$E, E2,
$I:$I, I2
) &gt; 1,
"⚠️ POSIBLE DUPLICADO",
""
)</f>
        <v/>
      </c>
      <c r="T2" s="6">
        <f>ROW()-1</f>
        <v/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"Ventas - Servicios Técnicos,Ventas - Hardware,Ventas - Software,Compras - Inventario,Salarios,Seguridad Social (CCSS),Alquiler,Servicios Públicos,Internet/Teléfono,Combustible,Mantenimiento,Papelería,Intereses - Tarjetas,Intereses - Préstamos,Intereses - Hacienda,IVA Cobrado,IVA Pagado,Transferencia entre cuentas,Otros"</formula1>
    </dataValidation>
    <dataValidation sqref="E2:E1000" showDropDown="0" showInputMessage="0" showErrorMessage="0" allowBlank="0" errorTitle="Cuenta inválida" error="Selecciona una cuenta válida de la lista" type="list">
      <formula1>"BNCR CRC Corriente (200-01-000-622159-5),BNCR USD Corriente (200-02-000-011931-4),BNCR CRC Ahorros (100-01-000-086647-3),BNCR USD Ahorros (100-02-000-039695-7),BNCR CRC Cliente (100-01-000-066819-8),Promerica CRC Corriente (10000003881708),Promerica USD Corriente (40000003881774),Efectivo Caja Chica CRC,Efectivo Caja Chica USD,Tarjeta BNCR Visa 3519,Tarjeta Promerica MC 8641,Tarjeta BAC Visa 7182,Tarjeta Scotia Visa 4429,Tarjeta Popular MC 6753"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30" customWidth="1" min="8" max="8"/>
  </cols>
  <sheetData>
    <row r="1">
      <c r="A1" s="7" t="inlineStr">
        <is>
          <t>CONTROL DE EFECTIVO Y BANCOS</t>
        </is>
      </c>
    </row>
    <row r="3">
      <c r="A3" s="1" t="inlineStr">
        <is>
          <t>Cuenta</t>
        </is>
      </c>
      <c r="B3" s="1" t="inlineStr">
        <is>
          <t>Tipo</t>
        </is>
      </c>
      <c r="C3" s="1" t="inlineStr">
        <is>
          <t>Moneda</t>
        </is>
      </c>
      <c r="D3" s="1" t="inlineStr">
        <is>
          <t>Saldo Inicial</t>
        </is>
      </c>
      <c r="E3" s="1" t="inlineStr">
        <is>
          <t>Ingresos</t>
        </is>
      </c>
      <c r="F3" s="1" t="inlineStr">
        <is>
          <t>Egresos</t>
        </is>
      </c>
      <c r="G3" s="1" t="inlineStr">
        <is>
          <t>Saldo Actual</t>
        </is>
      </c>
      <c r="H3" s="1" t="inlineStr">
        <is>
          <t>Notas</t>
        </is>
      </c>
    </row>
    <row r="4">
      <c r="A4" t="inlineStr">
        <is>
          <t>BNCR CRC Corriente (200-01-000-622159-5)</t>
        </is>
      </c>
      <c r="B4" t="inlineStr">
        <is>
          <t>Banco</t>
        </is>
      </c>
      <c r="C4" t="inlineStr">
        <is>
          <t>CRC</t>
        </is>
      </c>
      <c r="D4" s="4" t="n">
        <v>0</v>
      </c>
      <c r="E4" s="8">
        <f>SUMIFS(TRANSACCIONES!I:I, TRANSACCIONES!E:E, A4, TRANSACCIONES!B:B, "INGRESO", TRANSACCIONES!L:L, "COMPLETADA")</f>
        <v/>
      </c>
      <c r="F4" s="8">
        <f>SUMIFS(TRANSACCIONES!I:I, TRANSACCIONES!E:E, A4, TRANSACCIONES!L:L, "COMPLETADA") - E4</f>
        <v/>
      </c>
      <c r="G4" s="8">
        <f>D4+E4+F4</f>
        <v/>
      </c>
    </row>
    <row r="5">
      <c r="A5" t="inlineStr">
        <is>
          <t>BNCR USD Corriente (200-02-000-011931-4)</t>
        </is>
      </c>
      <c r="B5" t="inlineStr">
        <is>
          <t>Banco</t>
        </is>
      </c>
      <c r="C5" t="inlineStr">
        <is>
          <t>USD</t>
        </is>
      </c>
      <c r="D5" s="4" t="n">
        <v>0</v>
      </c>
      <c r="E5" s="8">
        <f>SUMIFS(TRANSACCIONES!I:I, TRANSACCIONES!E:E, A5, TRANSACCIONES!B:B, "INGRESO", TRANSACCIONES!L:L, "COMPLETADA")</f>
        <v/>
      </c>
      <c r="F5" s="8">
        <f>SUMIFS(TRANSACCIONES!I:I, TRANSACCIONES!E:E, A5, TRANSACCIONES!L:L, "COMPLETADA") - E5</f>
        <v/>
      </c>
      <c r="G5" s="8">
        <f>D5+E5+F5</f>
        <v/>
      </c>
    </row>
    <row r="6">
      <c r="A6" t="inlineStr">
        <is>
          <t>BNCR CRC Ahorros (100-01-000-086647-3)</t>
        </is>
      </c>
      <c r="B6" t="inlineStr">
        <is>
          <t>Banco</t>
        </is>
      </c>
      <c r="C6" t="inlineStr">
        <is>
          <t>CRC</t>
        </is>
      </c>
      <c r="D6" s="4" t="n">
        <v>0</v>
      </c>
      <c r="E6" s="8">
        <f>SUMIFS(TRANSACCIONES!I:I, TRANSACCIONES!E:E, A6, TRANSACCIONES!B:B, "INGRESO", TRANSACCIONES!L:L, "COMPLETADA")</f>
        <v/>
      </c>
      <c r="F6" s="8">
        <f>SUMIFS(TRANSACCIONES!I:I, TRANSACCIONES!E:E, A6, TRANSACCIONES!L:L, "COMPLETADA") - E6</f>
        <v/>
      </c>
      <c r="G6" s="8">
        <f>D6+E6+F6</f>
        <v/>
      </c>
    </row>
    <row r="7">
      <c r="A7" t="inlineStr">
        <is>
          <t>BNCR USD Ahorros (100-02-000-039695-7)</t>
        </is>
      </c>
      <c r="B7" t="inlineStr">
        <is>
          <t>Banco</t>
        </is>
      </c>
      <c r="C7" t="inlineStr">
        <is>
          <t>USD</t>
        </is>
      </c>
      <c r="D7" s="4" t="n">
        <v>1894.54</v>
      </c>
      <c r="E7" s="8">
        <f>SUMIFS(TRANSACCIONES!I:I, TRANSACCIONES!E:E, A7, TRANSACCIONES!B:B, "INGRESO", TRANSACCIONES!L:L, "COMPLETADA")</f>
        <v/>
      </c>
      <c r="F7" s="8">
        <f>SUMIFS(TRANSACCIONES!I:I, TRANSACCIONES!E:E, A7, TRANSACCIONES!L:L, "COMPLETADA") - E7</f>
        <v/>
      </c>
      <c r="G7" s="8">
        <f>D7+E7+F7</f>
        <v/>
      </c>
    </row>
    <row r="8">
      <c r="A8" t="inlineStr">
        <is>
          <t>BNCR CRC Cliente (100-01-000-066819-8)</t>
        </is>
      </c>
      <c r="B8" t="inlineStr">
        <is>
          <t>Banco</t>
        </is>
      </c>
      <c r="C8" t="inlineStr">
        <is>
          <t>CRC</t>
        </is>
      </c>
      <c r="D8" s="4" t="n">
        <v>0</v>
      </c>
      <c r="E8" s="8">
        <f>SUMIFS(TRANSACCIONES!I:I, TRANSACCIONES!E:E, A8, TRANSACCIONES!B:B, "INGRESO", TRANSACCIONES!L:L, "COMPLETADA")</f>
        <v/>
      </c>
      <c r="F8" s="8">
        <f>SUMIFS(TRANSACCIONES!I:I, TRANSACCIONES!E:E, A8, TRANSACCIONES!L:L, "COMPLETADA") - E8</f>
        <v/>
      </c>
      <c r="G8" s="8">
        <f>D8+E8+F8</f>
        <v/>
      </c>
    </row>
    <row r="9">
      <c r="A9" t="inlineStr">
        <is>
          <t>Promerica CRC Corriente (10000003881708)</t>
        </is>
      </c>
      <c r="B9" t="inlineStr">
        <is>
          <t>Banco</t>
        </is>
      </c>
      <c r="C9" t="inlineStr">
        <is>
          <t>CRC</t>
        </is>
      </c>
      <c r="D9" s="4" t="n">
        <v>0</v>
      </c>
      <c r="E9" s="8">
        <f>SUMIFS(TRANSACCIONES!I:I, TRANSACCIONES!E:E, A9, TRANSACCIONES!B:B, "INGRESO", TRANSACCIONES!L:L, "COMPLETADA")</f>
        <v/>
      </c>
      <c r="F9" s="8">
        <f>SUMIFS(TRANSACCIONES!I:I, TRANSACCIONES!E:E, A9, TRANSACCIONES!L:L, "COMPLETADA") - E9</f>
        <v/>
      </c>
      <c r="G9" s="8">
        <f>D9+E9+F9</f>
        <v/>
      </c>
    </row>
    <row r="10">
      <c r="A10" t="inlineStr">
        <is>
          <t>Promerica USD Corriente (40000003881774)</t>
        </is>
      </c>
      <c r="B10" t="inlineStr">
        <is>
          <t>Banco</t>
        </is>
      </c>
      <c r="C10" t="inlineStr">
        <is>
          <t>USD</t>
        </is>
      </c>
      <c r="D10" s="4" t="n">
        <v>1550</v>
      </c>
      <c r="E10" s="8">
        <f>SUMIFS(TRANSACCIONES!I:I, TRANSACCIONES!E:E, A10, TRANSACCIONES!B:B, "INGRESO", TRANSACCIONES!L:L, "COMPLETADA")</f>
        <v/>
      </c>
      <c r="F10" s="8">
        <f>SUMIFS(TRANSACCIONES!I:I, TRANSACCIONES!E:E, A10, TRANSACCIONES!L:L, "COMPLETADA") - E10</f>
        <v/>
      </c>
      <c r="G10" s="8">
        <f>D10+E10+F10</f>
        <v/>
      </c>
    </row>
    <row r="11">
      <c r="A11" t="inlineStr">
        <is>
          <t>Efectivo Caja Chica CRC</t>
        </is>
      </c>
      <c r="B11" t="inlineStr">
        <is>
          <t>Efectivo</t>
        </is>
      </c>
      <c r="C11" t="inlineStr">
        <is>
          <t>CRC</t>
        </is>
      </c>
      <c r="D11" s="4" t="n">
        <v>0</v>
      </c>
      <c r="E11" s="8">
        <f>SUMIFS(TRANSACCIONES!I:I, TRANSACCIONES!E:E, A11, TRANSACCIONES!B:B, "INGRESO", TRANSACCIONES!L:L, "COMPLETADA")</f>
        <v/>
      </c>
      <c r="F11" s="8">
        <f>SUMIFS(TRANSACCIONES!I:I, TRANSACCIONES!E:E, A11, TRANSACCIONES!L:L, "COMPLETADA") - E11</f>
        <v/>
      </c>
      <c r="G11" s="8">
        <f>D11+E11+F11</f>
        <v/>
      </c>
    </row>
    <row r="12">
      <c r="A12" t="inlineStr">
        <is>
          <t>Efectivo Caja Chica USD</t>
        </is>
      </c>
      <c r="B12" t="inlineStr">
        <is>
          <t>Efectivo</t>
        </is>
      </c>
      <c r="C12" t="inlineStr">
        <is>
          <t>USD</t>
        </is>
      </c>
      <c r="D12" s="4" t="n">
        <v>0</v>
      </c>
      <c r="E12" s="8">
        <f>SUMIFS(TRANSACCIONES!I:I, TRANSACCIONES!E:E, A12, TRANSACCIONES!B:B, "INGRESO", TRANSACCIONES!L:L, "COMPLETADA")</f>
        <v/>
      </c>
      <c r="F12" s="8">
        <f>SUMIFS(TRANSACCIONES!I:I, TRANSACCIONES!E:E, A12, TRANSACCIONES!L:L, "COMPLETADA") - E12</f>
        <v/>
      </c>
      <c r="G12" s="8">
        <f>D12+E12+F12</f>
        <v/>
      </c>
    </row>
    <row r="13">
      <c r="A13" s="9" t="inlineStr">
        <is>
          <t>TOTAL EFECTIVO</t>
        </is>
      </c>
      <c r="D13" s="10">
        <f>SUM(D4:D12)</f>
        <v/>
      </c>
      <c r="E13" s="10">
        <f>SUM(E4:E12)</f>
        <v/>
      </c>
      <c r="F13" s="10">
        <f>SUM(F4:F12)</f>
        <v/>
      </c>
      <c r="G13" s="10">
        <f>SUM(G4:G12)</f>
        <v/>
      </c>
    </row>
    <row r="15">
      <c r="A15" s="11" t="inlineStr">
        <is>
          <t>💡 Los saldos se calculan automáticamente desde TRANSACCIONES</t>
        </is>
      </c>
    </row>
  </sheetData>
  <mergeCells count="2">
    <mergeCell ref="A15:H15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min="2" max="2"/>
    <col width="18" customWidth="1" min="3" max="3"/>
    <col width="18" customWidth="1" min="4" max="4"/>
    <col width="20" customWidth="1" min="5" max="5"/>
    <col width="15" customWidth="1" min="6" max="6"/>
  </cols>
  <sheetData>
    <row r="2">
      <c r="B2" s="12" t="inlineStr">
        <is>
          <t>DASHBOARD FINANCIERO</t>
        </is>
      </c>
    </row>
    <row r="3">
      <c r="B3" t="inlineStr">
        <is>
          <t>Última actualización:</t>
        </is>
      </c>
      <c r="C3" s="13">
        <f>NOW()</f>
        <v/>
      </c>
    </row>
    <row r="5">
      <c r="B5" s="14" t="inlineStr">
        <is>
          <t>💰 EFECTIVO DISPONIBLE</t>
        </is>
      </c>
      <c r="E5" s="15" t="inlineStr">
        <is>
          <t>🚨 ALERTAS CRÍTICAS</t>
        </is>
      </c>
    </row>
    <row r="6">
      <c r="B6" t="inlineStr">
        <is>
          <t>Total Efectivo (USD):</t>
        </is>
      </c>
      <c r="C6" s="16">
        <f>EFECTIVO!G13</f>
        <v/>
      </c>
      <c r="E6" t="inlineStr">
        <is>
          <t>Duplicados:</t>
        </is>
      </c>
      <c r="F6" s="17">
        <f>COUNTIF(TRANSACCIONES!S:S, "⚠️ POSIBLE DUPLICADO")</f>
        <v/>
      </c>
    </row>
    <row r="7">
      <c r="E7" t="inlineStr">
        <is>
          <t>Pendientes:</t>
        </is>
      </c>
      <c r="F7" s="18">
        <f>COUNTIF(TRANSACCIONES!L:L, "PENDIENTE")</f>
        <v/>
      </c>
    </row>
    <row r="8">
      <c r="B8" s="14" t="inlineStr">
        <is>
          <t>⏱️ DÍAS DE COBERTURA</t>
        </is>
      </c>
      <c r="E8" t="inlineStr">
        <is>
          <t>Sin categoría:</t>
        </is>
      </c>
      <c r="F8" s="9">
        <f>COUNTBLANK(TRANSACCIONES!C:C) - 1</f>
        <v/>
      </c>
    </row>
    <row r="9">
      <c r="B9" t="inlineStr">
        <is>
          <t>Gasto Diario Promedio:</t>
        </is>
      </c>
      <c r="C9" s="19">
        <f>SUMIFS(TRANSACCIONES!I:I, TRANSACCIONES!B:B, "GASTO OPERATIVO", TRANSACCIONES!L:L, "COMPLETADA") / 30</f>
        <v/>
      </c>
    </row>
    <row r="10">
      <c r="B10" t="inlineStr">
        <is>
          <t>Días de Cobertura:</t>
        </is>
      </c>
      <c r="C10" s="20">
        <f>IF(C9&gt;0, C6/C9, 0)</f>
        <v/>
      </c>
      <c r="D10" s="21">
        <f>IF(C10&lt;15, "🚨 CRÍTICO", IF(C10&lt;30, "⚠️ PRECAUCIÓN", "✅ SALUDABLE"))</f>
        <v/>
      </c>
    </row>
    <row r="12">
      <c r="B12" s="14" t="inlineStr">
        <is>
          <t>🏆 TOP 5 CLIENTES (Noviembre)</t>
        </is>
      </c>
    </row>
    <row r="13">
      <c r="B13" s="1" t="inlineStr">
        <is>
          <t>Cliente</t>
        </is>
      </c>
      <c r="C13" s="1" t="inlineStr">
        <is>
          <t>Facturado USD</t>
        </is>
      </c>
    </row>
    <row r="14">
      <c r="B14" t="inlineStr">
        <is>
          <t>Grupo Acción Comercial S.A.</t>
        </is>
      </c>
      <c r="C14" s="19" t="n">
        <v>1681.56</v>
      </c>
    </row>
    <row r="15">
      <c r="B15" t="inlineStr">
        <is>
          <t>Corporación de Supermercados Unidos CSU</t>
        </is>
      </c>
      <c r="C15" s="19" t="n">
        <v>1488.75</v>
      </c>
    </row>
    <row r="16">
      <c r="B16" t="inlineStr">
        <is>
          <t>Tiendas Monge CR</t>
        </is>
      </c>
      <c r="C16" s="19" t="n">
        <v>1029.75</v>
      </c>
    </row>
    <row r="17">
      <c r="B17" t="inlineStr">
        <is>
          <t>Gessa Comunicaciones S.A.</t>
        </is>
      </c>
      <c r="C17" s="19" t="n">
        <v>830.5</v>
      </c>
    </row>
    <row r="18">
      <c r="B18" t="inlineStr">
        <is>
          <t>Corporación El Colono</t>
        </is>
      </c>
      <c r="C18" s="19" t="n">
        <v>778.84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15" customWidth="1" min="8" max="8"/>
    <col width="30" customWidth="1" min="9" max="9"/>
    <col width="15" customWidth="1" min="10" max="10"/>
  </cols>
  <sheetData>
    <row r="1">
      <c r="A1" s="7" t="inlineStr">
        <is>
          <t>SISTEMA DE NORMALIZACIÓN DE ENTIDADES</t>
        </is>
      </c>
    </row>
    <row r="2">
      <c r="A2" s="11" t="inlineStr">
        <is>
          <t>💡 Esta hoja permite normalizar nombres de clientes, proveedores y bancos que aparecen con variaciones</t>
        </is>
      </c>
    </row>
    <row r="4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3" t="inlineStr">
        <is>
          <t>Grupo Acción Comercial</t>
        </is>
      </c>
      <c r="D5" s="3" t="inlineStr">
        <is>
          <t>GACS</t>
        </is>
      </c>
      <c r="E5" s="3" t="n"/>
      <c r="F5" s="3" t="n"/>
      <c r="G5" s="3" t="n"/>
      <c r="H5" t="inlineStr">
        <is>
          <t>VIP</t>
        </is>
      </c>
      <c r="I5" t="inlineStr">
        <is>
          <t>Facturación Nov: $1681.56</t>
        </is>
      </c>
      <c r="J5" t="inlineStr">
        <is>
          <t>12/11/2025</t>
        </is>
      </c>
    </row>
    <row r="6">
      <c r="A6" t="inlineStr">
        <is>
          <t>Cliente</t>
        </is>
      </c>
      <c r="B6" t="inlineStr">
        <is>
          <t>Corporación de Supermercados Unidos CSU</t>
        </is>
      </c>
      <c r="C6" s="3" t="inlineStr"/>
      <c r="D6" s="3" t="inlineStr">
        <is>
          <t>CSU</t>
        </is>
      </c>
      <c r="E6" s="3" t="n"/>
      <c r="F6" s="3" t="n"/>
      <c r="G6" s="3" t="n"/>
      <c r="H6" t="inlineStr">
        <is>
          <t>VIP</t>
        </is>
      </c>
      <c r="I6" t="inlineStr">
        <is>
          <t>Facturación Nov: $1488.75</t>
        </is>
      </c>
      <c r="J6" t="inlineStr">
        <is>
          <t>12/11/2025</t>
        </is>
      </c>
    </row>
    <row r="7">
      <c r="A7" t="inlineStr">
        <is>
          <t>Cliente</t>
        </is>
      </c>
      <c r="B7" t="inlineStr">
        <is>
          <t>Tiendas Monge CR</t>
        </is>
      </c>
      <c r="C7" s="3" t="inlineStr"/>
      <c r="D7" s="3" t="inlineStr">
        <is>
          <t>TM</t>
        </is>
      </c>
      <c r="E7" s="3" t="n"/>
      <c r="F7" s="3" t="n"/>
      <c r="G7" s="3" t="n"/>
      <c r="H7" t="inlineStr">
        <is>
          <t>VIP</t>
        </is>
      </c>
      <c r="I7" t="inlineStr">
        <is>
          <t>Facturación Nov: $1029.75</t>
        </is>
      </c>
      <c r="J7" t="inlineStr">
        <is>
          <t>12/11/2025</t>
        </is>
      </c>
    </row>
    <row r="8">
      <c r="A8" t="inlineStr">
        <is>
          <t>Cliente</t>
        </is>
      </c>
      <c r="B8" t="inlineStr">
        <is>
          <t>Gessa Comunicaciones S.A.</t>
        </is>
      </c>
      <c r="C8" s="3" t="inlineStr">
        <is>
          <t>Gessa Comunicaciones</t>
        </is>
      </c>
      <c r="D8" s="3" t="inlineStr">
        <is>
          <t>GCS</t>
        </is>
      </c>
      <c r="E8" s="3" t="n"/>
      <c r="F8" s="3" t="n"/>
      <c r="G8" s="3" t="n"/>
      <c r="H8" t="inlineStr">
        <is>
          <t>VIP</t>
        </is>
      </c>
      <c r="I8" t="inlineStr">
        <is>
          <t>Facturación Nov: $830.50</t>
        </is>
      </c>
      <c r="J8" t="inlineStr">
        <is>
          <t>12/11/2025</t>
        </is>
      </c>
    </row>
    <row r="9">
      <c r="A9" t="inlineStr">
        <is>
          <t>Cliente</t>
        </is>
      </c>
      <c r="B9" t="inlineStr">
        <is>
          <t>Corporación El Colono</t>
        </is>
      </c>
      <c r="C9" s="3" t="inlineStr"/>
      <c r="D9" s="3" t="inlineStr">
        <is>
          <t>CC</t>
        </is>
      </c>
      <c r="E9" s="3" t="n"/>
      <c r="F9" s="3" t="n"/>
      <c r="G9" s="3" t="n"/>
      <c r="H9" t="inlineStr">
        <is>
          <t>VIP</t>
        </is>
      </c>
      <c r="I9" t="inlineStr">
        <is>
          <t>Facturación Nov: $778.84</t>
        </is>
      </c>
      <c r="J9" t="inlineStr">
        <is>
          <t>12/11/2025</t>
        </is>
      </c>
    </row>
    <row r="10">
      <c r="A10" t="inlineStr">
        <is>
          <t>Cliente</t>
        </is>
      </c>
      <c r="B10" t="inlineStr">
        <is>
          <t>Automercado S.A.</t>
        </is>
      </c>
      <c r="C10" s="3" t="inlineStr">
        <is>
          <t>Automercado</t>
        </is>
      </c>
      <c r="D10" s="3" t="n"/>
      <c r="E10" s="3" t="n"/>
      <c r="F10" s="3" t="n"/>
      <c r="G10" s="3" t="n"/>
      <c r="H10" t="inlineStr">
        <is>
          <t>VIP</t>
        </is>
      </c>
      <c r="I10" t="inlineStr">
        <is>
          <t>Facturación Nov: $705.10</t>
        </is>
      </c>
      <c r="J10" t="inlineStr">
        <is>
          <t>12/11/2025</t>
        </is>
      </c>
    </row>
    <row r="11">
      <c r="A11" t="inlineStr">
        <is>
          <t>Cliente</t>
        </is>
      </c>
      <c r="B11" t="inlineStr">
        <is>
          <t>Supermercados La Mejor</t>
        </is>
      </c>
      <c r="C11" s="3" t="inlineStr"/>
      <c r="D11" s="3" t="inlineStr">
        <is>
          <t>SM</t>
        </is>
      </c>
      <c r="E11" s="3" t="n"/>
      <c r="F11" s="3" t="n"/>
      <c r="G11" s="3" t="n"/>
      <c r="H11" t="inlineStr">
        <is>
          <t>VIP</t>
        </is>
      </c>
      <c r="I11" t="inlineStr">
        <is>
          <t>Facturación Nov: $580.00</t>
        </is>
      </c>
      <c r="J11" t="inlineStr">
        <is>
          <t>12/11/2025</t>
        </is>
      </c>
    </row>
    <row r="12">
      <c r="A12" t="inlineStr">
        <is>
          <t>Cliente</t>
        </is>
      </c>
      <c r="B12" t="inlineStr">
        <is>
          <t>Servicios R.G.V. Ltda</t>
        </is>
      </c>
      <c r="C12" s="3" t="inlineStr">
        <is>
          <t>Servicios R.G.V.</t>
        </is>
      </c>
      <c r="D12" s="3" t="inlineStr">
        <is>
          <t>SRL</t>
        </is>
      </c>
      <c r="E12" s="3" t="n"/>
      <c r="F12" s="3" t="n"/>
      <c r="G12" s="3" t="n"/>
      <c r="H12" t="inlineStr">
        <is>
          <t>Regular</t>
        </is>
      </c>
      <c r="I12" t="inlineStr">
        <is>
          <t>Facturación Nov: $531.52</t>
        </is>
      </c>
      <c r="J12" t="inlineStr">
        <is>
          <t>12/11/2025</t>
        </is>
      </c>
    </row>
    <row r="13">
      <c r="A13" t="inlineStr">
        <is>
          <t>Cliente</t>
        </is>
      </c>
      <c r="B13" t="inlineStr">
        <is>
          <t>Grupo Roble S.A.</t>
        </is>
      </c>
      <c r="C13" s="3" t="inlineStr">
        <is>
          <t>Grupo Roble</t>
        </is>
      </c>
      <c r="D13" s="3" t="inlineStr">
        <is>
          <t>GRS</t>
        </is>
      </c>
      <c r="E13" s="3" t="n"/>
      <c r="F13" s="3" t="n"/>
      <c r="G13" s="3" t="n"/>
      <c r="H13" t="inlineStr">
        <is>
          <t>Regular</t>
        </is>
      </c>
      <c r="I13" t="inlineStr">
        <is>
          <t>Facturación Nov: $417.30</t>
        </is>
      </c>
      <c r="J13" t="inlineStr">
        <is>
          <t>12/11/2025</t>
        </is>
      </c>
    </row>
    <row r="14">
      <c r="A14" t="inlineStr">
        <is>
          <t>Cliente</t>
        </is>
      </c>
      <c r="B14" t="inlineStr">
        <is>
          <t>Inversiones JZ S.A.</t>
        </is>
      </c>
      <c r="C14" s="3" t="inlineStr">
        <is>
          <t>Inversiones JZ</t>
        </is>
      </c>
      <c r="D14" s="3" t="inlineStr">
        <is>
          <t>IS</t>
        </is>
      </c>
      <c r="E14" s="3" t="n"/>
      <c r="F14" s="3" t="n"/>
      <c r="G14" s="3" t="n"/>
      <c r="H14" t="inlineStr">
        <is>
          <t>Regular</t>
        </is>
      </c>
      <c r="I14" t="inlineStr">
        <is>
          <t>Facturación Nov: $275.00</t>
        </is>
      </c>
      <c r="J14" t="inlineStr">
        <is>
          <t>12/11/2025</t>
        </is>
      </c>
    </row>
    <row r="15">
      <c r="A15" t="inlineStr">
        <is>
          <t>Cliente</t>
        </is>
      </c>
      <c r="B15" t="inlineStr">
        <is>
          <t>Importadora G.J. S.A.</t>
        </is>
      </c>
      <c r="C15" s="3" t="inlineStr">
        <is>
          <t>Importadora G.J.</t>
        </is>
      </c>
      <c r="D15" s="3" t="inlineStr">
        <is>
          <t>IGS</t>
        </is>
      </c>
      <c r="E15" s="3" t="n"/>
      <c r="F15" s="3" t="n"/>
      <c r="G15" s="3" t="n"/>
      <c r="H15" t="inlineStr">
        <is>
          <t>Regular</t>
        </is>
      </c>
      <c r="I15" t="inlineStr">
        <is>
          <t>Facturación Nov: $250.68</t>
        </is>
      </c>
      <c r="J15" t="inlineStr">
        <is>
          <t>12/11/2025</t>
        </is>
      </c>
    </row>
    <row r="16">
      <c r="A16" t="inlineStr">
        <is>
          <t>Cliente</t>
        </is>
      </c>
      <c r="B16" t="inlineStr">
        <is>
          <t>MegaSuper S.A.</t>
        </is>
      </c>
      <c r="C16" s="3" t="inlineStr">
        <is>
          <t>MegaSuper</t>
        </is>
      </c>
      <c r="D16" s="3" t="n"/>
      <c r="E16" s="3" t="n"/>
      <c r="F16" s="3" t="n"/>
      <c r="G16" s="3" t="n"/>
      <c r="H16" t="inlineStr">
        <is>
          <t>Regular</t>
        </is>
      </c>
      <c r="I16" t="inlineStr">
        <is>
          <t>Facturación Nov: $187.76</t>
        </is>
      </c>
      <c r="J16" t="inlineStr">
        <is>
          <t>12/11/2025</t>
        </is>
      </c>
    </row>
    <row r="17">
      <c r="A17" t="inlineStr">
        <is>
          <t>Cliente</t>
        </is>
      </c>
      <c r="B17" t="inlineStr">
        <is>
          <t>Corporación 5x3 S.A.</t>
        </is>
      </c>
      <c r="C17" s="3" t="inlineStr">
        <is>
          <t>Corporación 5x3</t>
        </is>
      </c>
      <c r="D17" s="3" t="inlineStr">
        <is>
          <t>CS</t>
        </is>
      </c>
      <c r="E17" s="3" t="n"/>
      <c r="F17" s="3" t="n"/>
      <c r="G17" s="3" t="n"/>
      <c r="H17" t="inlineStr">
        <is>
          <t>Regular</t>
        </is>
      </c>
      <c r="I17" t="inlineStr">
        <is>
          <t>Facturación Nov: $160.25</t>
        </is>
      </c>
      <c r="J17" t="inlineStr">
        <is>
          <t>12/11/2025</t>
        </is>
      </c>
    </row>
    <row r="18">
      <c r="A18" t="inlineStr">
        <is>
          <t>Cliente</t>
        </is>
      </c>
      <c r="B18" t="inlineStr">
        <is>
          <t>Distribuidora del Sur</t>
        </is>
      </c>
      <c r="C18" s="3" t="inlineStr"/>
      <c r="D18" s="3" t="inlineStr"/>
      <c r="E18" s="3" t="n"/>
      <c r="F18" s="3" t="n"/>
      <c r="G18" s="3" t="n"/>
      <c r="H18" t="inlineStr">
        <is>
          <t>Regular</t>
        </is>
      </c>
      <c r="I18" t="inlineStr">
        <is>
          <t>Facturación Nov: $142.50</t>
        </is>
      </c>
      <c r="J18" t="inlineStr">
        <is>
          <t>12/11/2025</t>
        </is>
      </c>
    </row>
    <row r="19">
      <c r="A19" t="inlineStr">
        <is>
          <t>Cliente</t>
        </is>
      </c>
      <c r="B19" t="inlineStr">
        <is>
          <t>Fresh Market S.A.</t>
        </is>
      </c>
      <c r="C19" s="3" t="inlineStr">
        <is>
          <t>Fresh Market</t>
        </is>
      </c>
      <c r="D19" s="3" t="inlineStr">
        <is>
          <t>FMS</t>
        </is>
      </c>
      <c r="E19" s="3" t="n"/>
      <c r="F19" s="3" t="n"/>
      <c r="G19" s="3" t="n"/>
      <c r="H19" t="inlineStr">
        <is>
          <t>Regular</t>
        </is>
      </c>
      <c r="I19" t="inlineStr">
        <is>
          <t>Facturación Nov: $124.80</t>
        </is>
      </c>
      <c r="J19" t="inlineStr">
        <is>
          <t>12/11/2025</t>
        </is>
      </c>
    </row>
    <row r="20">
      <c r="A20" t="inlineStr">
        <is>
          <t>Cliente</t>
        </is>
      </c>
      <c r="B20" t="inlineStr">
        <is>
          <t>PriceSmart Costa Rica</t>
        </is>
      </c>
      <c r="C20" s="3" t="inlineStr"/>
      <c r="D20" s="3" t="inlineStr">
        <is>
          <t>PCR</t>
        </is>
      </c>
      <c r="E20" s="3" t="n"/>
      <c r="F20" s="3" t="n"/>
      <c r="G20" s="3" t="n"/>
      <c r="H20" t="inlineStr">
        <is>
          <t>Regular</t>
        </is>
      </c>
      <c r="I20" t="inlineStr">
        <is>
          <t>Facturación Nov: $109.16</t>
        </is>
      </c>
      <c r="J20" t="inlineStr">
        <is>
          <t>12/11/2025</t>
        </is>
      </c>
    </row>
    <row r="21">
      <c r="A21" t="inlineStr">
        <is>
          <t>Cliente</t>
        </is>
      </c>
      <c r="B21" t="inlineStr">
        <is>
          <t>Super La Económica</t>
        </is>
      </c>
      <c r="C21" s="3" t="inlineStr"/>
      <c r="D21" s="3" t="inlineStr">
        <is>
          <t>SE</t>
        </is>
      </c>
      <c r="E21" s="3" t="n"/>
      <c r="F21" s="3" t="n"/>
      <c r="G21" s="3" t="n"/>
      <c r="H21" t="inlineStr">
        <is>
          <t>Regular</t>
        </is>
      </c>
      <c r="I21" t="inlineStr">
        <is>
          <t>Facturación Nov: $94.75</t>
        </is>
      </c>
      <c r="J21" t="inlineStr">
        <is>
          <t>12/11/2025</t>
        </is>
      </c>
    </row>
    <row r="22">
      <c r="A22" t="inlineStr">
        <is>
          <t>Cliente</t>
        </is>
      </c>
      <c r="B22" t="inlineStr">
        <is>
          <t>Tiendas Pequeño Mundo</t>
        </is>
      </c>
      <c r="C22" s="3" t="inlineStr"/>
      <c r="D22" s="3" t="inlineStr">
        <is>
          <t>TPM</t>
        </is>
      </c>
      <c r="E22" s="3" t="n"/>
      <c r="F22" s="3" t="n"/>
      <c r="G22" s="3" t="n"/>
      <c r="H22" t="inlineStr">
        <is>
          <t>Regular</t>
        </is>
      </c>
      <c r="I22" t="inlineStr">
        <is>
          <t>Facturación Nov: $83.20</t>
        </is>
      </c>
      <c r="J22" t="inlineStr">
        <is>
          <t>12/11/2025</t>
        </is>
      </c>
    </row>
    <row r="23">
      <c r="A23" t="inlineStr">
        <is>
          <t>Cliente</t>
        </is>
      </c>
      <c r="B23" t="inlineStr">
        <is>
          <t>Distribuidora Central</t>
        </is>
      </c>
      <c r="C23" s="3" t="inlineStr"/>
      <c r="D23" s="3" t="n"/>
      <c r="E23" s="3" t="n"/>
      <c r="F23" s="3" t="n"/>
      <c r="G23" s="3" t="n"/>
      <c r="H23" t="inlineStr">
        <is>
          <t>Regular</t>
        </is>
      </c>
      <c r="I23" t="inlineStr">
        <is>
          <t>Facturación Nov: $0.00</t>
        </is>
      </c>
      <c r="J23" t="inlineStr">
        <is>
          <t>12/11/2025</t>
        </is>
      </c>
    </row>
    <row r="24">
      <c r="A24" t="inlineStr">
        <is>
          <t>Cliente</t>
        </is>
      </c>
      <c r="B24" t="inlineStr">
        <is>
          <t>Comercial del Este</t>
        </is>
      </c>
      <c r="C24" s="3" t="inlineStr"/>
      <c r="D24" s="3" t="inlineStr">
        <is>
          <t>CE</t>
        </is>
      </c>
      <c r="E24" s="3" t="n"/>
      <c r="F24" s="3" t="n"/>
      <c r="G24" s="3" t="n"/>
      <c r="H24" t="inlineStr">
        <is>
          <t>Regular</t>
        </is>
      </c>
      <c r="I24" t="inlineStr">
        <is>
          <t>Facturación Nov: $0.00</t>
        </is>
      </c>
      <c r="J24" t="inlineStr">
        <is>
          <t>12/11/2025</t>
        </is>
      </c>
    </row>
    <row r="25">
      <c r="A25" t="inlineStr">
        <is>
          <t>Cliente</t>
        </is>
      </c>
      <c r="B25" t="inlineStr">
        <is>
          <t>Super Compro S.A.</t>
        </is>
      </c>
      <c r="C25" s="3" t="inlineStr">
        <is>
          <t>Super Compro</t>
        </is>
      </c>
      <c r="D25" s="3" t="inlineStr">
        <is>
          <t>SCS</t>
        </is>
      </c>
      <c r="E25" s="3" t="n"/>
      <c r="F25" s="3" t="n"/>
      <c r="G25" s="3" t="n"/>
      <c r="H25" t="inlineStr">
        <is>
          <t>Regular</t>
        </is>
      </c>
      <c r="I25" t="inlineStr">
        <is>
          <t>Facturación Nov: $0.00</t>
        </is>
      </c>
      <c r="J25" t="inlineStr">
        <is>
          <t>12/11/2025</t>
        </is>
      </c>
    </row>
    <row r="26">
      <c r="A26" t="inlineStr">
        <is>
          <t>Cliente</t>
        </is>
      </c>
      <c r="B26" t="inlineStr">
        <is>
          <t>Walmart Costa Rica</t>
        </is>
      </c>
      <c r="C26" s="3" t="inlineStr"/>
      <c r="D26" s="3" t="inlineStr">
        <is>
          <t>WCR</t>
        </is>
      </c>
      <c r="E26" s="3" t="n"/>
      <c r="F26" s="3" t="n"/>
      <c r="G26" s="3" t="n"/>
      <c r="H26" t="inlineStr">
        <is>
          <t>Regular</t>
        </is>
      </c>
      <c r="I26" t="inlineStr">
        <is>
          <t>Facturación Nov: $0.00</t>
        </is>
      </c>
      <c r="J26" t="inlineStr">
        <is>
          <t>12/11/2025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3" t="n"/>
      <c r="D27" s="3" t="n"/>
      <c r="E27" s="3" t="n"/>
      <c r="F27" s="3" t="n"/>
      <c r="G27" s="3" t="n"/>
      <c r="H27" t="inlineStr">
        <is>
          <t>Principal</t>
        </is>
      </c>
      <c r="J27" t="inlineStr">
        <is>
          <t>12/11/2025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3" t="n"/>
      <c r="D28" s="3" t="n"/>
      <c r="E28" s="3" t="n"/>
      <c r="F28" s="3" t="n"/>
      <c r="G28" s="3" t="n"/>
      <c r="H28" t="inlineStr">
        <is>
          <t>Principal</t>
        </is>
      </c>
      <c r="J28" t="inlineStr">
        <is>
          <t>12/11/2025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3" t="n"/>
      <c r="D29" s="3" t="n"/>
      <c r="E29" s="3" t="n"/>
      <c r="F29" s="3" t="n"/>
      <c r="G29" s="3" t="n"/>
      <c r="H29" t="inlineStr">
        <is>
          <t>Principal</t>
        </is>
      </c>
      <c r="J29" t="inlineStr">
        <is>
          <t>12/11/2025</t>
        </is>
      </c>
    </row>
    <row r="30">
      <c r="A30" t="inlineStr">
        <is>
          <t>Proveedor</t>
        </is>
      </c>
      <c r="B30" t="inlineStr">
        <is>
          <t>TD Synex</t>
        </is>
      </c>
      <c r="C30" s="3" t="n"/>
      <c r="D30" s="3" t="n"/>
      <c r="E30" s="3" t="n"/>
      <c r="F30" s="3" t="n"/>
      <c r="G30" s="3" t="n"/>
      <c r="H30" t="inlineStr">
        <is>
          <t>Principal</t>
        </is>
      </c>
      <c r="J30" t="inlineStr">
        <is>
          <t>12/11/2025</t>
        </is>
      </c>
    </row>
    <row r="31">
      <c r="A31" t="inlineStr">
        <is>
          <t>Proveedor</t>
        </is>
      </c>
      <c r="B31" t="inlineStr">
        <is>
          <t>ICD Soft</t>
        </is>
      </c>
      <c r="C31" s="3" t="n"/>
      <c r="D31" s="3" t="n"/>
      <c r="E31" s="3" t="n"/>
      <c r="F31" s="3" t="n"/>
      <c r="G31" s="3" t="n"/>
      <c r="H31" t="inlineStr">
        <is>
          <t>Principal</t>
        </is>
      </c>
      <c r="J31" t="inlineStr">
        <is>
          <t>12/11/2025</t>
        </is>
      </c>
    </row>
    <row r="32">
      <c r="A32" t="inlineStr">
        <is>
          <t>Banco</t>
        </is>
      </c>
      <c r="B32" t="inlineStr">
        <is>
          <t>BNCR CRC Corriente (200-01-000-622159-5)</t>
        </is>
      </c>
      <c r="C32" s="3" t="n"/>
      <c r="D32" s="3" t="n"/>
      <c r="E32" s="3" t="n"/>
      <c r="F32" s="3" t="n"/>
      <c r="G32" s="3" t="n"/>
      <c r="H32" t="inlineStr">
        <is>
          <t>Banco</t>
        </is>
      </c>
      <c r="I32" t="inlineStr">
        <is>
          <t>Moneda: CRC</t>
        </is>
      </c>
      <c r="J32" t="inlineStr">
        <is>
          <t>12/11/2025</t>
        </is>
      </c>
    </row>
    <row r="33">
      <c r="A33" t="inlineStr">
        <is>
          <t>Banco</t>
        </is>
      </c>
      <c r="B33" t="inlineStr">
        <is>
          <t>BNCR USD Corriente (200-02-000-011931-4)</t>
        </is>
      </c>
      <c r="C33" s="3" t="n"/>
      <c r="D33" s="3" t="n"/>
      <c r="E33" s="3" t="n"/>
      <c r="F33" s="3" t="n"/>
      <c r="G33" s="3" t="n"/>
      <c r="H33" t="inlineStr">
        <is>
          <t>Banco</t>
        </is>
      </c>
      <c r="I33" t="inlineStr">
        <is>
          <t>Moneda: USD</t>
        </is>
      </c>
      <c r="J33" t="inlineStr">
        <is>
          <t>12/11/2025</t>
        </is>
      </c>
    </row>
    <row r="34">
      <c r="A34" t="inlineStr">
        <is>
          <t>Banco</t>
        </is>
      </c>
      <c r="B34" t="inlineStr">
        <is>
          <t>BNCR CRC Ahorros (100-01-000-086647-3)</t>
        </is>
      </c>
      <c r="C34" s="3" t="n"/>
      <c r="D34" s="3" t="n"/>
      <c r="E34" s="3" t="n"/>
      <c r="F34" s="3" t="n"/>
      <c r="G34" s="3" t="n"/>
      <c r="H34" t="inlineStr">
        <is>
          <t>Banco</t>
        </is>
      </c>
      <c r="I34" t="inlineStr">
        <is>
          <t>Moneda: CRC</t>
        </is>
      </c>
      <c r="J34" t="inlineStr">
        <is>
          <t>12/11/2025</t>
        </is>
      </c>
    </row>
    <row r="35">
      <c r="A35" t="inlineStr">
        <is>
          <t>Banco</t>
        </is>
      </c>
      <c r="B35" t="inlineStr">
        <is>
          <t>BNCR USD Ahorros (100-02-000-039695-7)</t>
        </is>
      </c>
      <c r="C35" s="3" t="n"/>
      <c r="D35" s="3" t="n"/>
      <c r="E35" s="3" t="n"/>
      <c r="F35" s="3" t="n"/>
      <c r="G35" s="3" t="n"/>
      <c r="H35" t="inlineStr">
        <is>
          <t>Banco</t>
        </is>
      </c>
      <c r="I35" t="inlineStr">
        <is>
          <t>Moneda: USD</t>
        </is>
      </c>
      <c r="J35" t="inlineStr">
        <is>
          <t>12/11/2025</t>
        </is>
      </c>
    </row>
    <row r="36">
      <c r="A36" t="inlineStr">
        <is>
          <t>Banco</t>
        </is>
      </c>
      <c r="B36" t="inlineStr">
        <is>
          <t>BNCR CRC Cliente (100-01-000-066819-8)</t>
        </is>
      </c>
      <c r="C36" s="3" t="n"/>
      <c r="D36" s="3" t="n"/>
      <c r="E36" s="3" t="n"/>
      <c r="F36" s="3" t="n"/>
      <c r="G36" s="3" t="n"/>
      <c r="H36" t="inlineStr">
        <is>
          <t>Banco</t>
        </is>
      </c>
      <c r="I36" t="inlineStr">
        <is>
          <t>Moneda: CRC</t>
        </is>
      </c>
      <c r="J36" t="inlineStr">
        <is>
          <t>12/11/2025</t>
        </is>
      </c>
    </row>
    <row r="37">
      <c r="A37" t="inlineStr">
        <is>
          <t>Banco</t>
        </is>
      </c>
      <c r="B37" t="inlineStr">
        <is>
          <t>Promerica CRC Corriente (10000003881708)</t>
        </is>
      </c>
      <c r="C37" s="3" t="n"/>
      <c r="D37" s="3" t="n"/>
      <c r="E37" s="3" t="n"/>
      <c r="F37" s="3" t="n"/>
      <c r="G37" s="3" t="n"/>
      <c r="H37" t="inlineStr">
        <is>
          <t>Banco</t>
        </is>
      </c>
      <c r="I37" t="inlineStr">
        <is>
          <t>Moneda: CRC</t>
        </is>
      </c>
      <c r="J37" t="inlineStr">
        <is>
          <t>12/11/2025</t>
        </is>
      </c>
    </row>
    <row r="38">
      <c r="A38" t="inlineStr">
        <is>
          <t>Banco</t>
        </is>
      </c>
      <c r="B38" t="inlineStr">
        <is>
          <t>Promerica USD Corriente (40000003881774)</t>
        </is>
      </c>
      <c r="C38" s="3" t="n"/>
      <c r="D38" s="3" t="n"/>
      <c r="E38" s="3" t="n"/>
      <c r="F38" s="3" t="n"/>
      <c r="G38" s="3" t="n"/>
      <c r="H38" t="inlineStr">
        <is>
          <t>Banco</t>
        </is>
      </c>
      <c r="I38" t="inlineStr">
        <is>
          <t>Moneda: USD</t>
        </is>
      </c>
      <c r="J38" t="inlineStr">
        <is>
          <t>12/11/2025</t>
        </is>
      </c>
    </row>
    <row r="39">
      <c r="A39" t="inlineStr">
        <is>
          <t>Banco</t>
        </is>
      </c>
      <c r="B39" t="inlineStr">
        <is>
          <t>Efectivo Caja Chica CRC</t>
        </is>
      </c>
      <c r="C39" s="3" t="n"/>
      <c r="D39" s="3" t="n"/>
      <c r="E39" s="3" t="n"/>
      <c r="F39" s="3" t="n"/>
      <c r="G39" s="3" t="n"/>
      <c r="H39" t="inlineStr">
        <is>
          <t>Efectivo</t>
        </is>
      </c>
      <c r="I39" t="inlineStr">
        <is>
          <t>Moneda: CRC</t>
        </is>
      </c>
      <c r="J39" t="inlineStr">
        <is>
          <t>12/11/2025</t>
        </is>
      </c>
    </row>
    <row r="40">
      <c r="A40" t="inlineStr">
        <is>
          <t>Banco</t>
        </is>
      </c>
      <c r="B40" t="inlineStr">
        <is>
          <t>Efectivo Caja Chica USD</t>
        </is>
      </c>
      <c r="C40" s="3" t="n"/>
      <c r="D40" s="3" t="n"/>
      <c r="E40" s="3" t="n"/>
      <c r="F40" s="3" t="n"/>
      <c r="G40" s="3" t="n"/>
      <c r="H40" t="inlineStr">
        <is>
          <t>Efectivo</t>
        </is>
      </c>
      <c r="I40" t="inlineStr">
        <is>
          <t>Moneda: USD</t>
        </is>
      </c>
      <c r="J40" t="inlineStr">
        <is>
          <t>12/11/2025</t>
        </is>
      </c>
    </row>
    <row r="43">
      <c r="A43" s="9" t="inlineStr">
        <is>
          <t>📋 INSTRUCCIONES:</t>
        </is>
      </c>
    </row>
    <row r="44">
      <c r="A44" s="11" t="inlineStr">
        <is>
          <t>1. Cuando aparezca una variación de nombre, agrégala como 'Alias' en la fila correspondiente</t>
        </is>
      </c>
    </row>
    <row r="45">
      <c r="A45" s="11" t="inlineStr">
        <is>
          <t>2. Ejecuta: python scripts/normalizar_entidades_universal_v3.py</t>
        </is>
      </c>
    </row>
    <row r="46">
      <c r="A46" s="11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22" t="inlineStr">
        <is>
          <t>CONFIGURACIÓN DEL SISTEMA</t>
        </is>
      </c>
    </row>
    <row r="3">
      <c r="A3" s="9" t="inlineStr">
        <is>
          <t>Versión</t>
        </is>
      </c>
      <c r="B3" t="inlineStr">
        <is>
          <t>3.0.0 MVP</t>
        </is>
      </c>
    </row>
    <row r="4">
      <c r="A4" s="9" t="inlineStr">
        <is>
          <t>Fecha Creación</t>
        </is>
      </c>
      <c r="B4" t="inlineStr">
        <is>
          <t>12/11/2025 23:45</t>
        </is>
      </c>
    </row>
    <row r="5">
      <c r="A5" s="9" t="inlineStr">
        <is>
          <t>Propietario</t>
        </is>
      </c>
      <c r="B5" t="inlineStr">
        <is>
          <t>Alvaro Velasco - CIMSA</t>
        </is>
      </c>
    </row>
    <row r="6">
      <c r="A6" s="9" t="inlineStr">
        <is>
          <t>Tipo Cambio por Defecto</t>
        </is>
      </c>
      <c r="B6" t="inlineStr">
        <is>
          <t>540.00</t>
        </is>
      </c>
    </row>
    <row r="7">
      <c r="A7" s="9" t="inlineStr">
        <is>
          <t>Período Fiscal</t>
        </is>
      </c>
      <c r="B7" t="inlineStr">
        <is>
          <t>2025</t>
        </is>
      </c>
    </row>
    <row r="8">
      <c r="A8" s="9" t="inlineStr">
        <is>
          <t>Mes Activo</t>
        </is>
      </c>
      <c r="B8" t="inlineStr">
        <is>
          <t>Noviembre 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2025-11-12T23:45:34Z</dcterms:created>
  <dcterms:modified xmlns:dcterms="http://purl.org/dc/terms/" xmlns:xsi="http://www.w3.org/2001/XMLSchema-instance" xsi:type="dcterms:W3CDTF">2025-11-12T23:45:34Z</dcterms:modified>
</cp:coreProperties>
</file>