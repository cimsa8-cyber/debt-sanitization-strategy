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IVA_CONTROL" sheetId="6" state="visible" r:id="rId6"/>
    <sheet xmlns:r="http://schemas.openxmlformats.org/officeDocument/2006/relationships" name="CxC" sheetId="7" state="visible" r:id="rId7"/>
    <sheet xmlns:r="http://schemas.openxmlformats.org/officeDocument/2006/relationships" name="CxP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\₡#,##0.00"/>
    <numFmt numFmtId="165" formatCode="\$#,##0.00"/>
    <numFmt numFmtId="166" formatCode="\₡#,##0"/>
    <numFmt numFmtId="167" formatCode="0.00&quot;%&quot;"/>
    <numFmt numFmtId="168" formatCode="yyyy\-mm\-dd\ h:mm:ss"/>
    <numFmt numFmtId="169" formatCode="dd/mm/yy"/>
    <numFmt numFmtId="170" formatCode="DD/MM/YY"/>
    <numFmt numFmtId="171" formatCode="₡#,##0.00"/>
    <numFmt numFmtId="172" formatCode="$#,##0.0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0000"/>
      <sz val="12"/>
    </font>
    <font>
      <name val="Calibri"/>
      <family val="2"/>
      <i val="1"/>
      <sz val="9"/>
    </font>
    <font>
      <name val="Calibri"/>
      <family val="2"/>
      <b val="1"/>
      <color rgb="FFFF0000"/>
      <sz val="11"/>
    </font>
    <font>
      <name val="Calibri"/>
      <family val="2"/>
      <b val="1"/>
      <sz val="14"/>
    </font>
    <font>
      <name val="Calibri"/>
      <family val="2"/>
      <b val="1"/>
      <sz val="16"/>
    </font>
    <font>
      <name val="Calibri"/>
      <family val="2"/>
      <b val="1"/>
      <color rgb="FFFF0000"/>
      <sz val="10"/>
    </font>
    <font>
      <name val="Calibri"/>
      <family val="2"/>
      <b val="1"/>
      <sz val="16"/>
    </font>
    <font>
      <name val="Calibri"/>
      <family val="2"/>
      <b val="1"/>
      <sz val="11"/>
    </font>
    <font>
      <name val="Calibri"/>
      <family val="2"/>
      <b val="1"/>
      <color rgb="FF0000FF"/>
      <sz val="12"/>
    </font>
    <font>
      <name val="Calibri"/>
      <family val="2"/>
      <b val="1"/>
      <sz val="10"/>
    </font>
    <font>
      <b val="1"/>
      <sz val="14"/>
    </font>
    <font>
      <b val="1"/>
      <color rgb="00FFFFFF"/>
    </font>
    <font>
      <b val="1"/>
    </font>
    <font>
      <b val="1"/>
      <color rgb="00FF0000"/>
      <sz val="14"/>
    </font>
    <font>
      <b val="1"/>
      <color rgb="00FF0000"/>
    </font>
    <font>
      <i val="1"/>
      <sz val="10"/>
    </font>
    <font>
      <b val="1"/>
      <color rgb="00FFFFFF"/>
      <sz val="12"/>
    </font>
    <font>
      <b val="1"/>
      <color rgb="00FF0000"/>
      <sz val="12"/>
    </font>
  </fonts>
  <fills count="15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90EE90"/>
        <bgColor rgb="0090EE90"/>
      </patternFill>
    </fill>
    <fill>
      <patternFill patternType="solid">
        <fgColor rgb="00ADD8E6"/>
        <bgColor rgb="00ADD8E6"/>
      </patternFill>
    </fill>
    <fill>
      <patternFill patternType="solid">
        <fgColor rgb="00FFFF00"/>
        <bgColor rgb="00FFFF00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22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5" fontId="5" fillId="5" borderId="0" pivotButton="0" quotePrefix="0" xfId="0"/>
    <xf numFmtId="0" fontId="6" fillId="0" borderId="0" pivotButton="0" quotePrefix="0" xfId="0"/>
    <xf numFmtId="166" fontId="2" fillId="4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5" fontId="5" fillId="6" borderId="0" pivotButton="0" quotePrefix="0" xfId="0"/>
    <xf numFmtId="166" fontId="5" fillId="6" borderId="0" pivotButton="0" quotePrefix="0" xfId="0"/>
    <xf numFmtId="165" fontId="10" fillId="7" borderId="0" pivotButton="0" quotePrefix="0" xfId="0"/>
    <xf numFmtId="0" fontId="11" fillId="0" borderId="0" pivotButton="0" quotePrefix="0" xfId="0"/>
    <xf numFmtId="22" fontId="7" fillId="0" borderId="0" pivotButton="0" quotePrefix="0" xfId="0"/>
    <xf numFmtId="165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8" fontId="0" fillId="0" borderId="0" pivotButton="0" quotePrefix="0" xfId="0"/>
    <xf numFmtId="169" fontId="2" fillId="4" borderId="1" applyAlignment="1" pivotButton="0" quotePrefix="0" xfId="0">
      <alignment horizontal="left" vertical="center"/>
    </xf>
    <xf numFmtId="169" fontId="0" fillId="0" borderId="0" pivotButton="0" quotePrefix="0" xfId="0"/>
    <xf numFmtId="165" fontId="9" fillId="0" borderId="0" pivotButton="0" quotePrefix="0" xfId="0"/>
    <xf numFmtId="165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70" fontId="2" fillId="4" borderId="1" applyAlignment="1" pivotButton="0" quotePrefix="0" xfId="0">
      <alignment horizontal="left" vertical="center"/>
    </xf>
    <xf numFmtId="171" fontId="2" fillId="4" borderId="1" applyAlignment="1" pivotButton="0" quotePrefix="0" xfId="0">
      <alignment horizontal="left" vertical="center"/>
    </xf>
    <xf numFmtId="172" fontId="2" fillId="4" borderId="1" applyAlignment="1" pivotButton="0" quotePrefix="0" xfId="0">
      <alignment horizontal="left" vertical="center"/>
    </xf>
    <xf numFmtId="170" fontId="2" fillId="3" borderId="1" applyAlignment="1" pivotButton="0" quotePrefix="0" xfId="0">
      <alignment horizontal="right" vertical="center"/>
    </xf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1" fontId="2" fillId="3" borderId="1" applyAlignment="1" pivotButton="0" quotePrefix="0" xfId="0">
      <alignment horizontal="right" vertical="center"/>
    </xf>
    <xf numFmtId="172" fontId="2" fillId="3" borderId="1" applyAlignment="1" pivotButton="0" quotePrefix="0" xfId="0">
      <alignment horizontal="right" vertical="center"/>
    </xf>
    <xf numFmtId="172" fontId="9" fillId="5" borderId="0" pivotButton="0" quotePrefix="0" xfId="0"/>
    <xf numFmtId="172" fontId="9" fillId="0" borderId="0" pivotButton="0" quotePrefix="0" xfId="0"/>
    <xf numFmtId="172" fontId="1" fillId="2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8" borderId="2" applyAlignment="1" pivotButton="0" quotePrefix="0" xfId="0">
      <alignment horizontal="center" vertical="center"/>
    </xf>
    <xf numFmtId="1" fontId="0" fillId="0" borderId="0" pivotButton="0" quotePrefix="0" xfId="0"/>
    <xf numFmtId="0" fontId="18" fillId="0" borderId="0" pivotButton="0" quotePrefix="0" xfId="0"/>
    <xf numFmtId="172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0" fontId="0" fillId="9" borderId="0" pivotButton="0" quotePrefix="0" xfId="0"/>
    <xf numFmtId="172" fontId="18" fillId="11" borderId="0" pivotButton="0" quotePrefix="0" xfId="0"/>
    <xf numFmtId="172" fontId="18" fillId="12" borderId="0" pivotButton="0" quotePrefix="0" xfId="0"/>
    <xf numFmtId="172" fontId="0" fillId="11" borderId="0" pivotButton="0" quotePrefix="0" xfId="0"/>
    <xf numFmtId="172" fontId="0" fillId="12" borderId="0" pivotButton="0" quotePrefix="0" xfId="0"/>
    <xf numFmtId="0" fontId="23" fillId="0" borderId="0" pivotButton="0" quotePrefix="0" xfId="0"/>
    <xf numFmtId="172" fontId="23" fillId="13" borderId="0" pivotButton="0" quotePrefix="0" xfId="0"/>
    <xf numFmtId="0" fontId="18" fillId="14" borderId="0" pivotButton="0" quotePrefix="0" xfId="0"/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TC del día de la transacción.
Por defecto: ₡508 (TC Venta 12/Nov/2025)
Actualiza en CONFIG si cambia.
Formato: 508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1" topLeftCell="A2" activePane="bottomLeft" state="frozen"/>
      <selection pane="bottomLeft" activeCell="S1" sqref="S1:S1048576"/>
    </sheetView>
  </sheetViews>
  <sheetFormatPr baseColWidth="8" defaultRowHeight="15"/>
  <cols>
    <col width="18.28515625" bestFit="1" customWidth="1" style="36" min="1" max="1"/>
    <col width="18" customWidth="1" style="36" min="2" max="2"/>
    <col width="22" customWidth="1" style="36" min="3" max="3"/>
    <col width="30" customWidth="1" style="36" min="4" max="4"/>
    <col width="28" customWidth="1" style="36" min="5" max="5"/>
    <col width="30" customWidth="1" style="36" min="6" max="6"/>
    <col width="12" customWidth="1" style="36" min="7" max="7"/>
    <col width="13.7109375" bestFit="1" customWidth="1" style="36" min="8" max="8"/>
    <col width="12" customWidth="1" style="36" min="9" max="9"/>
    <col width="10" customWidth="1" style="36" min="10" max="10"/>
    <col width="15" customWidth="1" style="36" min="11" max="11"/>
    <col width="12" customWidth="1" style="36" min="12" max="12"/>
    <col width="8" customWidth="1" style="36" min="13" max="13"/>
    <col width="15" customWidth="1" style="36" min="14" max="14"/>
    <col width="25" customWidth="1" style="36" min="15" max="15"/>
    <col width="12" customWidth="1" style="36" min="16" max="16"/>
    <col width="18.28515625" bestFit="1" customWidth="1" style="36" min="17" max="17"/>
    <col width="12" customWidth="1" style="36" min="18" max="18"/>
    <col width="15" customWidth="1" style="36" min="19" max="19"/>
    <col width="10" customWidth="1" style="36" min="20" max="20"/>
  </cols>
  <sheetData>
    <row r="1" ht="30" customHeight="1" s="36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45" t="n">
        <v>45970.39496226852</v>
      </c>
      <c r="B2" s="2" t="inlineStr">
        <is>
          <t>Apertura Inicial</t>
        </is>
      </c>
      <c r="C2" s="2" t="n"/>
      <c r="D2" s="2" t="n"/>
      <c r="E2" s="2" t="inlineStr">
        <is>
          <t>Promerica USD (40000003881774)</t>
        </is>
      </c>
      <c r="F2" s="2" t="inlineStr">
        <is>
          <t>Sistema</t>
        </is>
      </c>
      <c r="G2" s="2" t="n"/>
      <c r="H2" s="46" t="n">
        <v>1536661.23</v>
      </c>
      <c r="I2" s="47" t="n">
        <v>3030.89</v>
      </c>
      <c r="J2" s="46" t="n">
        <v>508</v>
      </c>
      <c r="K2" s="2" t="n"/>
      <c r="L2" s="2" t="inlineStr">
        <is>
          <t>Cobrado</t>
        </is>
      </c>
      <c r="M2" s="2" t="n"/>
      <c r="N2" s="2" t="n"/>
      <c r="O2" s="2" t="n"/>
      <c r="P2" s="2" t="inlineStr">
        <is>
          <t>Importado v2.0</t>
        </is>
      </c>
      <c r="Q2" s="48" t="n">
        <v>45973.79666554398</v>
      </c>
      <c r="S2" s="4">
        <f>IF(
COUNTIFS(
$A:$A, A2,
$E:$E, E2,
$I:$I, I2
) &gt; 1,
"⚠️ POSIBLE DUPLICADO",
""
)</f>
        <v/>
      </c>
      <c r="T2" s="4">
        <f>ROW()-1</f>
        <v/>
      </c>
    </row>
    <row r="3">
      <c r="A3" s="49" t="n">
        <v>45970.39496226852</v>
      </c>
      <c r="B3" t="inlineStr">
        <is>
          <t>TRANSFERENCIAS</t>
        </is>
      </c>
      <c r="E3" t="inlineStr">
        <is>
          <t>BNCR USD (601066-4)</t>
        </is>
      </c>
      <c r="F3" t="inlineStr">
        <is>
          <t>Sistema</t>
        </is>
      </c>
      <c r="H3" s="50" t="n">
        <v>629121.09</v>
      </c>
      <c r="I3" s="51" t="n">
        <v>1240.87</v>
      </c>
      <c r="J3" s="50" t="n">
        <v>508</v>
      </c>
      <c r="L3" t="inlineStr">
        <is>
          <t>Cobrado</t>
        </is>
      </c>
      <c r="P3" t="inlineStr">
        <is>
          <t>Importado v2.0</t>
        </is>
      </c>
      <c r="Q3" s="49" t="n">
        <v>45973.79666554398</v>
      </c>
    </row>
    <row r="4">
      <c r="A4" s="49" t="n">
        <v>45970.39496226852</v>
      </c>
      <c r="B4" t="inlineStr">
        <is>
          <t>TRANSFERENCIAS</t>
        </is>
      </c>
      <c r="E4" t="inlineStr">
        <is>
          <t>Promerica CRC (10000003881708)</t>
        </is>
      </c>
      <c r="F4" t="inlineStr">
        <is>
          <t>Sistema</t>
        </is>
      </c>
      <c r="H4" s="50" t="n">
        <v>1090.05</v>
      </c>
      <c r="I4" s="51" t="n">
        <v>2.15</v>
      </c>
      <c r="J4" s="50" t="n">
        <v>508</v>
      </c>
      <c r="L4" t="inlineStr">
        <is>
          <t>Cobrado</t>
        </is>
      </c>
      <c r="P4" t="inlineStr">
        <is>
          <t>Importado v2.0</t>
        </is>
      </c>
      <c r="Q4" s="49" t="n">
        <v>45973.79666554398</v>
      </c>
    </row>
    <row r="5">
      <c r="A5" s="49" t="n">
        <v>45970.39496226852</v>
      </c>
      <c r="B5" t="inlineStr">
        <is>
          <t>TRANSFERENCIAS</t>
        </is>
      </c>
      <c r="E5" t="inlineStr">
        <is>
          <t>BNCR CRC (188618-3)</t>
        </is>
      </c>
      <c r="F5" t="inlineStr">
        <is>
          <t>Sistema</t>
        </is>
      </c>
      <c r="H5" s="50" t="n">
        <v>30338.88</v>
      </c>
      <c r="I5" s="51" t="n">
        <v>59.84</v>
      </c>
      <c r="J5" s="50" t="n">
        <v>508</v>
      </c>
      <c r="L5" t="inlineStr">
        <is>
          <t>Cobrado</t>
        </is>
      </c>
      <c r="P5" t="inlineStr">
        <is>
          <t>Importado v2.0</t>
        </is>
      </c>
      <c r="Q5" s="49" t="n">
        <v>45973.79666554398</v>
      </c>
    </row>
    <row r="6">
      <c r="A6" s="49" t="n">
        <v>45970.39496226852</v>
      </c>
      <c r="B6" t="inlineStr">
        <is>
          <t>TRANSFERENCIAS</t>
        </is>
      </c>
      <c r="E6" t="inlineStr">
        <is>
          <t>BNCR Ahorro 1002335826</t>
        </is>
      </c>
      <c r="F6" t="inlineStr">
        <is>
          <t>Sistema</t>
        </is>
      </c>
      <c r="H6" s="50" t="n">
        <v>510072.42</v>
      </c>
      <c r="I6" s="51" t="n">
        <v>1006.06</v>
      </c>
      <c r="J6" s="50" t="n">
        <v>508</v>
      </c>
      <c r="L6" t="inlineStr">
        <is>
          <t>Cobrado</t>
        </is>
      </c>
      <c r="P6" t="inlineStr">
        <is>
          <t>Importado v2.0</t>
        </is>
      </c>
      <c r="Q6" s="49" t="n">
        <v>45973.79666554398</v>
      </c>
    </row>
    <row r="7">
      <c r="A7" s="49" t="n">
        <v>45970.39496226852</v>
      </c>
      <c r="B7" t="inlineStr">
        <is>
          <t>TRANSFERENCIAS</t>
        </is>
      </c>
      <c r="E7" t="inlineStr">
        <is>
          <t>BNCR Ahorro 1002273441</t>
        </is>
      </c>
      <c r="F7" t="inlineStr">
        <is>
          <t>Sistema</t>
        </is>
      </c>
      <c r="H7" s="50" t="n">
        <v>1147417.05</v>
      </c>
      <c r="I7" s="51" t="n">
        <v>2263.15</v>
      </c>
      <c r="J7" s="50" t="n">
        <v>508</v>
      </c>
      <c r="L7" t="inlineStr">
        <is>
          <t>Cobrado</t>
        </is>
      </c>
      <c r="P7" t="inlineStr">
        <is>
          <t>Importado v2.0</t>
        </is>
      </c>
      <c r="Q7" s="49" t="n">
        <v>45973.79666554398</v>
      </c>
    </row>
    <row r="8">
      <c r="A8" s="49" t="n">
        <v>45970.39496226852</v>
      </c>
      <c r="B8" t="inlineStr">
        <is>
          <t>TRANSFERENCIAS</t>
        </is>
      </c>
      <c r="E8" t="inlineStr">
        <is>
          <t>BNCR Ahorro 1002388223</t>
        </is>
      </c>
      <c r="F8" t="inlineStr">
        <is>
          <t>Sistema</t>
        </is>
      </c>
      <c r="H8" s="50" t="n">
        <v>114293.01</v>
      </c>
      <c r="I8" s="51" t="n">
        <v>225.43</v>
      </c>
      <c r="J8" s="50" t="n">
        <v>508</v>
      </c>
      <c r="L8" t="inlineStr">
        <is>
          <t>Cobrado</t>
        </is>
      </c>
      <c r="P8" t="inlineStr">
        <is>
          <t>Importado v2.0</t>
        </is>
      </c>
      <c r="Q8" s="49" t="n">
        <v>45973.79666554398</v>
      </c>
    </row>
    <row r="9">
      <c r="A9" s="49" t="n">
        <v>45970.39496226852</v>
      </c>
      <c r="B9" t="inlineStr">
        <is>
          <t>TRANSFERENCIAS</t>
        </is>
      </c>
      <c r="E9" t="inlineStr">
        <is>
          <t>BNCR Ahorro 17000002201</t>
        </is>
      </c>
      <c r="F9" t="inlineStr">
        <is>
          <t>Sistema</t>
        </is>
      </c>
      <c r="H9" s="50" t="n">
        <v>2311580.31</v>
      </c>
      <c r="I9" s="51" t="n">
        <v>4559.33</v>
      </c>
      <c r="J9" s="50" t="n">
        <v>508</v>
      </c>
      <c r="L9" t="inlineStr">
        <is>
          <t>Cobrado</t>
        </is>
      </c>
      <c r="P9" t="inlineStr">
        <is>
          <t>Importado v2.0</t>
        </is>
      </c>
      <c r="Q9" s="49" t="n">
        <v>45973.79666554398</v>
      </c>
    </row>
    <row r="10">
      <c r="A10" s="49" t="n">
        <v>45970.39496228009</v>
      </c>
      <c r="B10" t="inlineStr">
        <is>
          <t>GASTOS OPERATIVOS</t>
        </is>
      </c>
      <c r="E10" t="inlineStr">
        <is>
          <t>Por Cobrar</t>
        </is>
      </c>
      <c r="F10" t="inlineStr">
        <is>
          <t>VWR INTERNATIONAL LTDA</t>
        </is>
      </c>
      <c r="H10" s="50" t="n">
        <v>1419600</v>
      </c>
      <c r="I10" s="51" t="n">
        <v>2800</v>
      </c>
      <c r="J10" s="50" t="n">
        <v>508</v>
      </c>
      <c r="L10" t="inlineStr">
        <is>
          <t>Pendiente</t>
        </is>
      </c>
      <c r="P10" t="inlineStr">
        <is>
          <t>Importado v2.0</t>
        </is>
      </c>
      <c r="Q10" s="49" t="n">
        <v>45973.79666554398</v>
      </c>
    </row>
    <row r="11">
      <c r="A11" s="49" t="n">
        <v>45970.39496228009</v>
      </c>
      <c r="B11" t="inlineStr">
        <is>
          <t>GASTOS OPERATIVOS</t>
        </is>
      </c>
      <c r="E11" t="inlineStr">
        <is>
          <t>Por Cobrar</t>
        </is>
      </c>
      <c r="F11" t="inlineStr">
        <is>
          <t>GRUPO ACCION COMERCIAL S.A.</t>
        </is>
      </c>
      <c r="H11" s="50" t="n">
        <v>856343.28</v>
      </c>
      <c r="I11" s="51" t="n">
        <v>1689.04</v>
      </c>
      <c r="J11" s="50" t="n">
        <v>508</v>
      </c>
      <c r="L11" t="inlineStr">
        <is>
          <t>Pendiente</t>
        </is>
      </c>
      <c r="P11" t="inlineStr">
        <is>
          <t>Importado v2.0</t>
        </is>
      </c>
      <c r="Q11" s="49" t="n">
        <v>45973.79666554398</v>
      </c>
    </row>
    <row r="12">
      <c r="A12" s="49" t="n">
        <v>45970.39496228009</v>
      </c>
      <c r="B12" t="inlineStr">
        <is>
          <t>GASTOS OPERATIVOS</t>
        </is>
      </c>
      <c r="E12" t="inlineStr">
        <is>
          <t>Por Cobrar</t>
        </is>
      </c>
      <c r="F12" t="inlineStr">
        <is>
          <t>ALMACEN FISCAL DEL PACIFICO ALFIPAC SOCIEDAD ANONIMA</t>
        </is>
      </c>
      <c r="H12" s="50" t="n">
        <v>385852.35</v>
      </c>
      <c r="I12" s="51" t="n">
        <v>761.05</v>
      </c>
      <c r="J12" s="50" t="n">
        <v>508</v>
      </c>
      <c r="L12" t="inlineStr">
        <is>
          <t>Pendiente</t>
        </is>
      </c>
      <c r="P12" t="inlineStr">
        <is>
          <t>Importado v2.0</t>
        </is>
      </c>
      <c r="Q12" s="49" t="n">
        <v>45973.79666554398</v>
      </c>
    </row>
    <row r="13">
      <c r="A13" s="49" t="n">
        <v>45970.39496228009</v>
      </c>
      <c r="B13" t="inlineStr">
        <is>
          <t>GASTOS OPERATIVOS</t>
        </is>
      </c>
      <c r="E13" t="inlineStr">
        <is>
          <t>Por Cobrar</t>
        </is>
      </c>
      <c r="F13" t="inlineStr">
        <is>
          <t>3-102-887892 SOCIEDAD DE RESPONSABILIDAD LIMITADA</t>
        </is>
      </c>
      <c r="H13" s="50" t="n">
        <v>350620.92</v>
      </c>
      <c r="I13" s="51" t="n">
        <v>691.5599999999999</v>
      </c>
      <c r="J13" s="50" t="n">
        <v>508</v>
      </c>
      <c r="L13" t="inlineStr">
        <is>
          <t>Pendiente</t>
        </is>
      </c>
      <c r="P13" t="inlineStr">
        <is>
          <t>Importado v2.0</t>
        </is>
      </c>
      <c r="Q13" s="49" t="n">
        <v>45973.79666554398</v>
      </c>
    </row>
    <row r="14">
      <c r="A14" s="49" t="n">
        <v>45970.39496228009</v>
      </c>
      <c r="B14" t="inlineStr">
        <is>
          <t>GASTOS OPERATIVOS</t>
        </is>
      </c>
      <c r="E14" t="inlineStr">
        <is>
          <t>Por Cobrar</t>
        </is>
      </c>
      <c r="F14" t="inlineStr">
        <is>
          <t>WAIPIO SOCIEDAD ANONIMA</t>
        </is>
      </c>
      <c r="H14" s="50" t="n">
        <v>348445.89</v>
      </c>
      <c r="I14" s="51" t="n">
        <v>687.27</v>
      </c>
      <c r="J14" s="50" t="n">
        <v>508</v>
      </c>
      <c r="L14" t="inlineStr">
        <is>
          <t>Pendiente</t>
        </is>
      </c>
      <c r="P14" t="inlineStr">
        <is>
          <t>Importado v2.0</t>
        </is>
      </c>
      <c r="Q14" s="49" t="n">
        <v>45973.79666554398</v>
      </c>
    </row>
    <row r="15">
      <c r="A15" s="49" t="n">
        <v>45970.39496228009</v>
      </c>
      <c r="B15" t="inlineStr">
        <is>
          <t>GASTOS OPERATIVOS</t>
        </is>
      </c>
      <c r="E15" t="inlineStr">
        <is>
          <t>Por Cobrar</t>
        </is>
      </c>
      <c r="F15" t="inlineStr">
        <is>
          <t>CENTRO INTEGRAL DE ONCOLOGIA CIO SRL</t>
        </is>
      </c>
      <c r="H15" s="50" t="n">
        <v>348334.35</v>
      </c>
      <c r="I15" s="51" t="n">
        <v>687.05</v>
      </c>
      <c r="J15" s="50" t="n">
        <v>508</v>
      </c>
      <c r="L15" t="inlineStr">
        <is>
          <t>Pendiente</t>
        </is>
      </c>
      <c r="P15" t="inlineStr">
        <is>
          <t>Importado v2.0</t>
        </is>
      </c>
      <c r="Q15" s="49" t="n">
        <v>45973.79666554398</v>
      </c>
    </row>
    <row r="16">
      <c r="A16" s="49" t="n">
        <v>45970.39496228009</v>
      </c>
      <c r="B16" t="inlineStr">
        <is>
          <t>GASTOS OPERATIVOS</t>
        </is>
      </c>
      <c r="E16" t="inlineStr">
        <is>
          <t>Por Cobrar</t>
        </is>
      </c>
      <c r="F16" t="inlineStr">
        <is>
          <t>ORTODONCIA DE LA CRUZ</t>
        </is>
      </c>
      <c r="H16" s="50" t="n">
        <v>250711.5</v>
      </c>
      <c r="I16" s="51" t="n">
        <v>494.5</v>
      </c>
      <c r="J16" s="50" t="n">
        <v>508</v>
      </c>
      <c r="L16" t="inlineStr">
        <is>
          <t>Pendiente</t>
        </is>
      </c>
      <c r="P16" t="inlineStr">
        <is>
          <t>Importado v2.0</t>
        </is>
      </c>
      <c r="Q16" s="49" t="n">
        <v>45973.79666554398</v>
      </c>
    </row>
    <row r="17">
      <c r="A17" s="49" t="n">
        <v>45970.39496228009</v>
      </c>
      <c r="B17" t="inlineStr">
        <is>
          <t>GASTOS OPERATIVOS</t>
        </is>
      </c>
      <c r="E17" t="inlineStr">
        <is>
          <t>Por Cobrar</t>
        </is>
      </c>
      <c r="F17" t="inlineStr">
        <is>
          <t>GLOBAL AUTOMOTRIZ DE COSTA RICA GACR SOCIEDAD ANONIMA</t>
        </is>
      </c>
      <c r="H17" s="50" t="n">
        <v>222882.27</v>
      </c>
      <c r="I17" s="51" t="n">
        <v>439.61</v>
      </c>
      <c r="J17" s="50" t="n">
        <v>508</v>
      </c>
      <c r="L17" t="inlineStr">
        <is>
          <t>Pendiente</t>
        </is>
      </c>
      <c r="P17" t="inlineStr">
        <is>
          <t>Importado v2.0</t>
        </is>
      </c>
      <c r="Q17" s="49" t="n">
        <v>45973.79666554398</v>
      </c>
    </row>
    <row r="18">
      <c r="A18" s="49" t="n">
        <v>45970.39496228009</v>
      </c>
      <c r="B18" t="inlineStr">
        <is>
          <t>GASTOS OPERATIVOS</t>
        </is>
      </c>
      <c r="E18" t="inlineStr">
        <is>
          <t>Por Cobrar</t>
        </is>
      </c>
      <c r="F18" t="inlineStr">
        <is>
          <t>SOLUSA CONSOLIDATORS AND FORWARDIG, S.A.</t>
        </is>
      </c>
      <c r="H18" s="50" t="n">
        <v>191823.45</v>
      </c>
      <c r="I18" s="51" t="n">
        <v>378.35</v>
      </c>
      <c r="J18" s="50" t="n">
        <v>508</v>
      </c>
      <c r="L18" t="inlineStr">
        <is>
          <t>Pendiente</t>
        </is>
      </c>
      <c r="P18" t="inlineStr">
        <is>
          <t>Importado v2.0</t>
        </is>
      </c>
      <c r="Q18" s="49" t="n">
        <v>45973.79666554398</v>
      </c>
    </row>
    <row r="19">
      <c r="A19" s="49" t="n">
        <v>45970.39496228009</v>
      </c>
      <c r="B19" t="inlineStr">
        <is>
          <t>GASTOS OPERATIVOS</t>
        </is>
      </c>
      <c r="E19" t="inlineStr">
        <is>
          <t>Por Cobrar</t>
        </is>
      </c>
      <c r="F19" t="inlineStr">
        <is>
          <t>CEMSO</t>
        </is>
      </c>
      <c r="H19" s="50" t="n">
        <v>169297.44</v>
      </c>
      <c r="I19" s="51" t="n">
        <v>333.92</v>
      </c>
      <c r="J19" s="50" t="n">
        <v>508</v>
      </c>
      <c r="L19" t="inlineStr">
        <is>
          <t>Pendiente</t>
        </is>
      </c>
      <c r="P19" t="inlineStr">
        <is>
          <t>Importado v2.0</t>
        </is>
      </c>
      <c r="Q19" s="49" t="n">
        <v>45973.79666554398</v>
      </c>
    </row>
    <row r="20">
      <c r="A20" s="49" t="n">
        <v>45970.39496228009</v>
      </c>
      <c r="B20" t="inlineStr">
        <is>
          <t>GASTOS OPERATIVOS</t>
        </is>
      </c>
      <c r="E20" t="inlineStr">
        <is>
          <t>Por Cobrar</t>
        </is>
      </c>
      <c r="F20" t="inlineStr">
        <is>
          <t>ASOCIACION COSTARRICENSE DE AGENCIAS DE CARGA Y LOGISTICA INTERNACIONAL ACACIA</t>
        </is>
      </c>
      <c r="H20" s="50" t="n">
        <v>169008.45</v>
      </c>
      <c r="I20" s="51" t="n">
        <v>333.35</v>
      </c>
      <c r="J20" s="50" t="n">
        <v>508</v>
      </c>
      <c r="L20" t="inlineStr">
        <is>
          <t>Pendiente</t>
        </is>
      </c>
      <c r="P20" t="inlineStr">
        <is>
          <t>Importado v2.0</t>
        </is>
      </c>
      <c r="Q20" s="49" t="n">
        <v>45973.79666554398</v>
      </c>
    </row>
    <row r="21">
      <c r="A21" s="49" t="n">
        <v>45970.39496228009</v>
      </c>
      <c r="B21" t="inlineStr">
        <is>
          <t>GASTOS OPERATIVOS</t>
        </is>
      </c>
      <c r="E21" t="inlineStr">
        <is>
          <t>Por Cobrar</t>
        </is>
      </c>
      <c r="F21" t="inlineStr">
        <is>
          <t>RODRIGUEZ ROJAS CARLOS HUMBERTO</t>
        </is>
      </c>
      <c r="H21" s="50" t="n">
        <v>143227.5</v>
      </c>
      <c r="I21" s="51" t="n">
        <v>282.5</v>
      </c>
      <c r="J21" s="50" t="n">
        <v>508</v>
      </c>
      <c r="L21" t="inlineStr">
        <is>
          <t>Pendiente</t>
        </is>
      </c>
      <c r="P21" t="inlineStr">
        <is>
          <t>Importado v2.0</t>
        </is>
      </c>
      <c r="Q21" s="49" t="n">
        <v>45973.79666554398</v>
      </c>
    </row>
    <row r="22">
      <c r="A22" s="49" t="n">
        <v>45970.39496228009</v>
      </c>
      <c r="B22" t="inlineStr">
        <is>
          <t>GASTOS OPERATIVOS</t>
        </is>
      </c>
      <c r="E22" t="inlineStr">
        <is>
          <t>Por Cobrar</t>
        </is>
      </c>
      <c r="F22" t="inlineStr">
        <is>
          <t>SUPPLY NET C.R.W.H SOCIEDAD ANONIMA</t>
        </is>
      </c>
      <c r="H22" s="50" t="n">
        <v>140362.95</v>
      </c>
      <c r="I22" s="51" t="n">
        <v>276.85</v>
      </c>
      <c r="J22" s="50" t="n">
        <v>508</v>
      </c>
      <c r="L22" t="inlineStr">
        <is>
          <t>Pendiente</t>
        </is>
      </c>
      <c r="P22" t="inlineStr">
        <is>
          <t>Importado v2.0</t>
        </is>
      </c>
      <c r="Q22" s="49" t="n">
        <v>45973.79666554398</v>
      </c>
    </row>
    <row r="23">
      <c r="A23" s="49" t="n">
        <v>45970.39496228009</v>
      </c>
      <c r="B23" t="inlineStr">
        <is>
          <t>GASTOS OPERATIVOS</t>
        </is>
      </c>
      <c r="E23" t="inlineStr">
        <is>
          <t>Por Cobrar</t>
        </is>
      </c>
      <c r="F23" t="inlineStr">
        <is>
          <t>OPERATION MANAGMENT OF TIERRA MAGNIFICA</t>
        </is>
      </c>
      <c r="H23" s="50" t="n">
        <v>105993.42</v>
      </c>
      <c r="I23" s="51" t="n">
        <v>209.06</v>
      </c>
      <c r="J23" s="50" t="n">
        <v>508</v>
      </c>
      <c r="L23" t="inlineStr">
        <is>
          <t>Pendiente</t>
        </is>
      </c>
      <c r="P23" t="inlineStr">
        <is>
          <t>Importado v2.0</t>
        </is>
      </c>
      <c r="Q23" s="49" t="n">
        <v>45973.79666554398</v>
      </c>
    </row>
    <row r="24">
      <c r="A24" s="49" t="n">
        <v>45970.39496228009</v>
      </c>
      <c r="B24" t="inlineStr">
        <is>
          <t>GASTOS OPERATIVOS</t>
        </is>
      </c>
      <c r="E24" t="inlineStr">
        <is>
          <t>Por Cobrar</t>
        </is>
      </c>
      <c r="F24" t="inlineStr">
        <is>
          <t>GENTRA DE COSTA RICA SOCIEDAD ANONIMA</t>
        </is>
      </c>
      <c r="H24" s="50" t="n">
        <v>93100.41</v>
      </c>
      <c r="I24" s="51" t="n">
        <v>183.63</v>
      </c>
      <c r="J24" s="50" t="n">
        <v>508</v>
      </c>
      <c r="L24" t="inlineStr">
        <is>
          <t>Pendiente</t>
        </is>
      </c>
      <c r="P24" t="inlineStr">
        <is>
          <t>Importado v2.0</t>
        </is>
      </c>
      <c r="Q24" s="49" t="n">
        <v>45973.79666554398</v>
      </c>
    </row>
    <row r="25">
      <c r="A25" s="49" t="n">
        <v>45970.39496228009</v>
      </c>
      <c r="B25" t="inlineStr">
        <is>
          <t>GASTOS OPERATIVOS</t>
        </is>
      </c>
      <c r="E25" t="inlineStr">
        <is>
          <t>Por Cobrar</t>
        </is>
      </c>
      <c r="F25" t="inlineStr">
        <is>
          <t>SEVILLA NAVARRO EDGAR</t>
        </is>
      </c>
      <c r="H25" s="50" t="n">
        <v>85936.5</v>
      </c>
      <c r="I25" s="51" t="n">
        <v>169.5</v>
      </c>
      <c r="J25" s="50" t="n">
        <v>508</v>
      </c>
      <c r="L25" t="inlineStr">
        <is>
          <t>Pendiente</t>
        </is>
      </c>
      <c r="P25" t="inlineStr">
        <is>
          <t>Importado v2.0</t>
        </is>
      </c>
      <c r="Q25" s="49" t="n">
        <v>45973.79666554398</v>
      </c>
    </row>
    <row r="26">
      <c r="A26" s="49" t="n">
        <v>45970.39496228009</v>
      </c>
      <c r="B26" t="inlineStr">
        <is>
          <t>GASTOS OPERATIVOS</t>
        </is>
      </c>
      <c r="E26" t="inlineStr">
        <is>
          <t>Por Cobrar</t>
        </is>
      </c>
      <c r="F26" t="inlineStr">
        <is>
          <t>GOMEZ AJOY EDGAR LUIS</t>
        </is>
      </c>
      <c r="H26" s="50" t="n">
        <v>57291</v>
      </c>
      <c r="I26" s="51" t="n">
        <v>113</v>
      </c>
      <c r="J26" s="50" t="n">
        <v>508</v>
      </c>
      <c r="L26" t="inlineStr">
        <is>
          <t>Pendiente</t>
        </is>
      </c>
      <c r="P26" t="inlineStr">
        <is>
          <t>Importado v2.0</t>
        </is>
      </c>
      <c r="Q26" s="49" t="n">
        <v>45973.79666554398</v>
      </c>
    </row>
    <row r="27">
      <c r="A27" s="49" t="n">
        <v>45970.39496228009</v>
      </c>
      <c r="B27" t="inlineStr">
        <is>
          <t>GASTOS OPERATIVOS</t>
        </is>
      </c>
      <c r="E27" t="inlineStr">
        <is>
          <t>Por Cobrar</t>
        </is>
      </c>
      <c r="F27" t="inlineStr">
        <is>
          <t>MELENDEZ MORALES MONICA</t>
        </is>
      </c>
      <c r="H27" s="50" t="n">
        <v>57291</v>
      </c>
      <c r="I27" s="51" t="n">
        <v>113</v>
      </c>
      <c r="J27" s="50" t="n">
        <v>508</v>
      </c>
      <c r="L27" t="inlineStr">
        <is>
          <t>Pendiente</t>
        </is>
      </c>
      <c r="P27" t="inlineStr">
        <is>
          <t>Importado v2.0</t>
        </is>
      </c>
      <c r="Q27" s="49" t="n">
        <v>45973.79666554398</v>
      </c>
    </row>
    <row r="28">
      <c r="A28" s="49" t="n">
        <v>45970.39496228009</v>
      </c>
      <c r="B28" t="inlineStr">
        <is>
          <t>GASTOS OPERATIVOS</t>
        </is>
      </c>
      <c r="E28" t="inlineStr">
        <is>
          <t>Por Cobrar</t>
        </is>
      </c>
      <c r="F28" t="inlineStr">
        <is>
          <t>BANDOGO SOLUCIONES TECNOLOGICAS SOCIEDAD ANONIMA</t>
        </is>
      </c>
      <c r="H28" s="50" t="n">
        <v>34374.6</v>
      </c>
      <c r="I28" s="51" t="n">
        <v>67.8</v>
      </c>
      <c r="J28" s="50" t="n">
        <v>508</v>
      </c>
      <c r="L28" t="inlineStr">
        <is>
          <t>Pendiente</t>
        </is>
      </c>
      <c r="P28" t="inlineStr">
        <is>
          <t>Importado v2.0</t>
        </is>
      </c>
      <c r="Q28" s="49" t="n">
        <v>45973.79666554398</v>
      </c>
    </row>
    <row r="29">
      <c r="A29" s="49" t="n">
        <v>45970.39496229167</v>
      </c>
      <c r="B29" t="inlineStr">
        <is>
          <t>GASTOS OPERATIVOS</t>
        </is>
      </c>
      <c r="E29" t="inlineStr">
        <is>
          <t>Por Cobrar</t>
        </is>
      </c>
      <c r="F29" t="inlineStr">
        <is>
          <t>CPF SERVICIOS RADIOLÓGICOS S.A.</t>
        </is>
      </c>
      <c r="H29" s="50" t="n">
        <v>28645.5</v>
      </c>
      <c r="I29" s="51" t="n">
        <v>56.5</v>
      </c>
      <c r="J29" s="50" t="n">
        <v>508</v>
      </c>
      <c r="L29" t="inlineStr">
        <is>
          <t>Pendiente</t>
        </is>
      </c>
      <c r="P29" t="inlineStr">
        <is>
          <t>Importado v2.0</t>
        </is>
      </c>
      <c r="Q29" s="49" t="n">
        <v>45973.79666554398</v>
      </c>
    </row>
    <row r="30">
      <c r="A30" s="49" t="n">
        <v>45970.39496229167</v>
      </c>
      <c r="B30" t="inlineStr">
        <is>
          <t>GASTOS OPERATIVOS</t>
        </is>
      </c>
      <c r="E30" t="inlineStr">
        <is>
          <t>Por Cobrar</t>
        </is>
      </c>
      <c r="F30" t="inlineStr">
        <is>
          <t>ORTODEC S.A.</t>
        </is>
      </c>
      <c r="H30" s="50" t="n">
        <v>28645.5</v>
      </c>
      <c r="I30" s="51" t="n">
        <v>56.5</v>
      </c>
      <c r="J30" s="50" t="n">
        <v>508</v>
      </c>
      <c r="L30" t="inlineStr">
        <is>
          <t>Pendiente</t>
        </is>
      </c>
      <c r="P30" t="inlineStr">
        <is>
          <t>Importado v2.0</t>
        </is>
      </c>
      <c r="Q30" s="49" t="n">
        <v>45973.79666554398</v>
      </c>
    </row>
    <row r="31">
      <c r="A31" s="49" t="n">
        <v>45970.39496229167</v>
      </c>
      <c r="B31" t="inlineStr">
        <is>
          <t>GASTOS OPERATIVOS</t>
        </is>
      </c>
      <c r="E31" t="inlineStr">
        <is>
          <t>Por Cobrar</t>
        </is>
      </c>
      <c r="F31" t="inlineStr">
        <is>
          <t>PEREZ MORALES FRANCISCO</t>
        </is>
      </c>
      <c r="H31" s="50" t="n">
        <v>21486.66</v>
      </c>
      <c r="I31" s="51" t="n">
        <v>42.38</v>
      </c>
      <c r="J31" s="50" t="n">
        <v>508</v>
      </c>
      <c r="L31" t="inlineStr">
        <is>
          <t>Pendiente</t>
        </is>
      </c>
      <c r="P31" t="inlineStr">
        <is>
          <t>Importado v2.0</t>
        </is>
      </c>
      <c r="Q31" s="49" t="n">
        <v>45973.79666554398</v>
      </c>
    </row>
    <row r="32">
      <c r="A32" s="49" t="n">
        <v>45970.39496229167</v>
      </c>
      <c r="B32" t="inlineStr">
        <is>
          <t>COMPRAS PARA REVENTA</t>
        </is>
      </c>
      <c r="E32" t="inlineStr">
        <is>
          <t>Por Pagar</t>
        </is>
      </c>
      <c r="F32" t="inlineStr">
        <is>
          <t>Intcomex</t>
        </is>
      </c>
      <c r="H32" s="50" t="n">
        <v>207915.63</v>
      </c>
      <c r="I32" s="51" t="n">
        <v>410.09</v>
      </c>
      <c r="J32" s="50" t="n">
        <v>508</v>
      </c>
      <c r="L32" t="inlineStr">
        <is>
          <t>Pendiente</t>
        </is>
      </c>
      <c r="P32" t="inlineStr">
        <is>
          <t>Importado v2.0</t>
        </is>
      </c>
      <c r="Q32" s="49" t="n">
        <v>45973.79666554398</v>
      </c>
    </row>
    <row r="33">
      <c r="A33" s="49" t="n">
        <v>45970.39496229167</v>
      </c>
      <c r="B33" t="inlineStr">
        <is>
          <t>COMPRAS PARA REVENTA</t>
        </is>
      </c>
      <c r="E33" t="inlineStr">
        <is>
          <t>Por Pagar</t>
        </is>
      </c>
      <c r="F33" t="inlineStr">
        <is>
          <t>SEA Global</t>
        </is>
      </c>
      <c r="H33" s="50" t="n">
        <v>22343.49</v>
      </c>
      <c r="I33" s="51" t="n">
        <v>44.07</v>
      </c>
      <c r="J33" s="50" t="n">
        <v>508</v>
      </c>
      <c r="L33" t="inlineStr">
        <is>
          <t>Pendiente</t>
        </is>
      </c>
      <c r="P33" t="inlineStr">
        <is>
          <t>Importado v2.0</t>
        </is>
      </c>
      <c r="Q33" s="49" t="n">
        <v>45973.79666554398</v>
      </c>
    </row>
    <row r="34">
      <c r="A34" s="49" t="n">
        <v>45970.39496229167</v>
      </c>
      <c r="B34" t="inlineStr">
        <is>
          <t>GASTOS FINANCIEROS</t>
        </is>
      </c>
      <c r="E34" t="inlineStr">
        <is>
          <t>TC BNCR TC BNCR 3519</t>
        </is>
      </c>
      <c r="F34" t="inlineStr">
        <is>
          <t>BNCR</t>
        </is>
      </c>
      <c r="H34" s="50" t="n">
        <v>-604567.0800000001</v>
      </c>
      <c r="I34" s="51" t="n">
        <v>-1192.44</v>
      </c>
      <c r="J34" s="50" t="n">
        <v>508</v>
      </c>
      <c r="L34" t="inlineStr">
        <is>
          <t>Pendiente</t>
        </is>
      </c>
      <c r="P34" t="inlineStr">
        <is>
          <t>Importado v2.0</t>
        </is>
      </c>
      <c r="Q34" s="49" t="n">
        <v>45973.79666554398</v>
      </c>
    </row>
    <row r="35">
      <c r="A35" s="49" t="n">
        <v>45970.39496229167</v>
      </c>
      <c r="B35" t="inlineStr">
        <is>
          <t>GASTOS FINANCIEROS</t>
        </is>
      </c>
      <c r="E35" t="inlineStr">
        <is>
          <t>TC BNCR TC BNCR 9837</t>
        </is>
      </c>
      <c r="F35" t="inlineStr">
        <is>
          <t>BNCR</t>
        </is>
      </c>
      <c r="H35" s="50" t="n">
        <v>-2930155.8</v>
      </c>
      <c r="I35" s="51" t="n">
        <v>-5779.4</v>
      </c>
      <c r="J35" s="50" t="n">
        <v>508</v>
      </c>
      <c r="L35" t="inlineStr">
        <is>
          <t>Pendiente</t>
        </is>
      </c>
      <c r="P35" t="inlineStr">
        <is>
          <t>Importado v2.0</t>
        </is>
      </c>
      <c r="Q35" s="49" t="n">
        <v>45973.79666554398</v>
      </c>
    </row>
    <row r="36">
      <c r="A36" s="49" t="n">
        <v>45970.39496229167</v>
      </c>
      <c r="B36" t="inlineStr">
        <is>
          <t>GASTOS FINANCIEROS</t>
        </is>
      </c>
      <c r="E36" t="inlineStr">
        <is>
          <t>TC BNCR TC BNCR 6386</t>
        </is>
      </c>
      <c r="F36" t="inlineStr">
        <is>
          <t>BNCR</t>
        </is>
      </c>
      <c r="H36" s="50" t="n">
        <v>-299991.9</v>
      </c>
      <c r="I36" s="51" t="n">
        <v>-591.7</v>
      </c>
      <c r="J36" s="50" t="n">
        <v>508</v>
      </c>
      <c r="L36" t="inlineStr">
        <is>
          <t>Pendiente</t>
        </is>
      </c>
      <c r="P36" t="inlineStr">
        <is>
          <t>Importado v2.0</t>
        </is>
      </c>
      <c r="Q36" s="49" t="n">
        <v>45973.79666554398</v>
      </c>
    </row>
    <row r="37">
      <c r="A37" s="49" t="n">
        <v>45970.39496229167</v>
      </c>
      <c r="B37" t="inlineStr">
        <is>
          <t>GASTOS FINANCIEROS</t>
        </is>
      </c>
      <c r="E37" t="inlineStr">
        <is>
          <t>TC BNCR TC BNCR 8759</t>
        </is>
      </c>
      <c r="F37" t="inlineStr">
        <is>
          <t>BNCR</t>
        </is>
      </c>
      <c r="H37" s="50" t="n">
        <v>-2905860.36</v>
      </c>
      <c r="I37" s="51" t="n">
        <v>-5731.48</v>
      </c>
      <c r="J37" s="50" t="n">
        <v>508</v>
      </c>
      <c r="L37" t="inlineStr">
        <is>
          <t>Pendiente</t>
        </is>
      </c>
      <c r="P37" t="inlineStr">
        <is>
          <t>Importado v2.0</t>
        </is>
      </c>
      <c r="Q37" s="49" t="n">
        <v>45973.79666554398</v>
      </c>
    </row>
    <row r="38">
      <c r="A38" s="49" t="n">
        <v>45970.39496229167</v>
      </c>
      <c r="B38" t="inlineStr">
        <is>
          <t>GASTOS FINANCIEROS</t>
        </is>
      </c>
      <c r="E38" t="inlineStr">
        <is>
          <t>TC BAC TC BAC</t>
        </is>
      </c>
      <c r="F38" t="inlineStr">
        <is>
          <t>BAC</t>
        </is>
      </c>
      <c r="H38" s="50" t="n">
        <v>-1565448.69</v>
      </c>
      <c r="I38" s="51" t="n">
        <v>-3087.67</v>
      </c>
      <c r="J38" s="50" t="n">
        <v>508</v>
      </c>
      <c r="L38" t="inlineStr">
        <is>
          <t>Pendiente</t>
        </is>
      </c>
      <c r="P38" t="inlineStr">
        <is>
          <t>Importado v2.0</t>
        </is>
      </c>
      <c r="Q38" s="49" t="n">
        <v>45973.79666554398</v>
      </c>
    </row>
    <row r="39">
      <c r="A39" s="49" t="n">
        <v>45970.96726364583</v>
      </c>
      <c r="B39" t="inlineStr">
        <is>
          <t>GASTOS OPERATIVOS</t>
        </is>
      </c>
      <c r="E39" t="inlineStr">
        <is>
          <t>Promerica USD (40000003881774)</t>
        </is>
      </c>
      <c r="F39" t="inlineStr">
        <is>
          <t>ESPH</t>
        </is>
      </c>
      <c r="H39" s="50" t="n">
        <v>0</v>
      </c>
      <c r="I39" s="51" t="n">
        <v>-39.59</v>
      </c>
      <c r="J39" s="50" t="n">
        <v>508</v>
      </c>
      <c r="L39" t="inlineStr">
        <is>
          <t>Completado</t>
        </is>
      </c>
      <c r="P39" t="inlineStr">
        <is>
          <t>Importado v2.0</t>
        </is>
      </c>
      <c r="Q39" s="49" t="n">
        <v>45973.79666554398</v>
      </c>
    </row>
    <row r="40">
      <c r="A40" s="49" t="n">
        <v>45970.96726364583</v>
      </c>
      <c r="B40" t="inlineStr">
        <is>
          <t>GASTOS OPERATIVOS</t>
        </is>
      </c>
      <c r="E40" t="inlineStr">
        <is>
          <t>Promerica USD (40000003881774)</t>
        </is>
      </c>
      <c r="F40" t="inlineStr">
        <is>
          <t>ESPH</t>
        </is>
      </c>
      <c r="H40" s="50" t="n">
        <v>0</v>
      </c>
      <c r="I40" s="51" t="n">
        <v>-189.73</v>
      </c>
      <c r="J40" s="50" t="n">
        <v>508</v>
      </c>
      <c r="L40" t="inlineStr">
        <is>
          <t>Completado</t>
        </is>
      </c>
      <c r="P40" t="inlineStr">
        <is>
          <t>Importado v2.0</t>
        </is>
      </c>
      <c r="Q40" s="49" t="n">
        <v>45973.79666554398</v>
      </c>
    </row>
    <row r="41">
      <c r="A41" s="49" t="n">
        <v>45970.96726364583</v>
      </c>
      <c r="B41" t="inlineStr">
        <is>
          <t>GASTOS OPERATIVOS</t>
        </is>
      </c>
      <c r="E41" t="inlineStr">
        <is>
          <t>Promerica USD (40000003881774)</t>
        </is>
      </c>
      <c r="F41" t="inlineStr">
        <is>
          <t>ICE</t>
        </is>
      </c>
      <c r="H41" s="50" t="n">
        <v>0</v>
      </c>
      <c r="I41" s="51" t="n">
        <v>-392.68</v>
      </c>
      <c r="J41" s="50" t="n">
        <v>508</v>
      </c>
      <c r="L41" t="inlineStr">
        <is>
          <t>Completado</t>
        </is>
      </c>
      <c r="P41" t="inlineStr">
        <is>
          <t>Importado v2.0</t>
        </is>
      </c>
      <c r="Q41" s="49" t="n">
        <v>45973.79666554398</v>
      </c>
    </row>
    <row r="42">
      <c r="A42" s="49" t="n">
        <v>45970.96726364583</v>
      </c>
      <c r="B42" t="inlineStr">
        <is>
          <t>INGRESOS</t>
        </is>
      </c>
      <c r="E42" t="inlineStr">
        <is>
          <t>Promerica USD (40000003881774)</t>
        </is>
      </c>
      <c r="F42" t="inlineStr">
        <is>
          <t>CPF SERVICIOS RADIOLÓGICOS</t>
        </is>
      </c>
      <c r="H42" s="50" t="n">
        <v>0</v>
      </c>
      <c r="I42" s="51" t="n">
        <v>56.5</v>
      </c>
      <c r="J42" s="50" t="n">
        <v>508</v>
      </c>
      <c r="L42" t="inlineStr">
        <is>
          <t>Completado</t>
        </is>
      </c>
      <c r="P42" t="inlineStr">
        <is>
          <t>Importado v2.0</t>
        </is>
      </c>
      <c r="Q42" s="49" t="n">
        <v>45973.79666555556</v>
      </c>
    </row>
    <row r="43">
      <c r="A43" s="49" t="n">
        <v>45970.96726364583</v>
      </c>
      <c r="B43" t="inlineStr">
        <is>
          <t>INGRESOS</t>
        </is>
      </c>
      <c r="E43" t="inlineStr">
        <is>
          <t>Promerica USD (40000003881774)</t>
        </is>
      </c>
      <c r="F43" t="inlineStr">
        <is>
          <t>ORTODEC S.A.</t>
        </is>
      </c>
      <c r="H43" s="50" t="n">
        <v>0</v>
      </c>
      <c r="I43" s="51" t="n">
        <v>56.5</v>
      </c>
      <c r="J43" s="50" t="n">
        <v>508</v>
      </c>
      <c r="L43" t="inlineStr">
        <is>
          <t>Completado</t>
        </is>
      </c>
      <c r="P43" t="inlineStr">
        <is>
          <t>Importado v2.0</t>
        </is>
      </c>
      <c r="Q43" s="49" t="n">
        <v>45973.79666555556</v>
      </c>
    </row>
    <row r="44">
      <c r="A44" s="49" t="n">
        <v>45970.96726364583</v>
      </c>
      <c r="B44" t="inlineStr">
        <is>
          <t>INGRESOS</t>
        </is>
      </c>
      <c r="E44" t="inlineStr">
        <is>
          <t>Promerica USD (40000003881774)</t>
        </is>
      </c>
      <c r="F44" t="inlineStr">
        <is>
          <t>ORTODONCIA DE LA CRUZ</t>
        </is>
      </c>
      <c r="H44" s="50" t="n">
        <v>0</v>
      </c>
      <c r="I44" s="51" t="n">
        <v>356.5</v>
      </c>
      <c r="J44" s="50" t="n">
        <v>508</v>
      </c>
      <c r="L44" t="inlineStr">
        <is>
          <t>Completado</t>
        </is>
      </c>
      <c r="P44" t="inlineStr">
        <is>
          <t>Importado v2.0</t>
        </is>
      </c>
      <c r="Q44" s="49" t="n">
        <v>45973.79666555556</v>
      </c>
    </row>
    <row r="45">
      <c r="A45" s="49" t="n">
        <v>45970.96726364583</v>
      </c>
      <c r="B45" t="inlineStr">
        <is>
          <t>INGRESOS</t>
        </is>
      </c>
      <c r="E45" t="inlineStr">
        <is>
          <t>Promerica USD (40000003881774)</t>
        </is>
      </c>
      <c r="F45" t="inlineStr">
        <is>
          <t>SMART WEB SERVICES</t>
        </is>
      </c>
      <c r="H45" s="50" t="n">
        <v>0</v>
      </c>
      <c r="I45" s="51" t="n">
        <v>1237.35</v>
      </c>
      <c r="J45" s="50" t="n">
        <v>508</v>
      </c>
      <c r="L45" t="inlineStr">
        <is>
          <t>Completado</t>
        </is>
      </c>
      <c r="P45" t="inlineStr">
        <is>
          <t>Importado v2.0</t>
        </is>
      </c>
      <c r="Q45" s="49" t="n">
        <v>45973.79666555556</v>
      </c>
    </row>
    <row r="46">
      <c r="A46" s="49" t="n">
        <v>45970.96726364583</v>
      </c>
      <c r="B46" t="inlineStr">
        <is>
          <t>GASTOS FINANCIEROS</t>
        </is>
      </c>
      <c r="E46" t="inlineStr">
        <is>
          <t>Promerica USD (40000003881774)</t>
        </is>
      </c>
      <c r="F46" t="inlineStr">
        <is>
          <t>Banco Promerica</t>
        </is>
      </c>
      <c r="H46" s="50" t="n">
        <v>0</v>
      </c>
      <c r="I46" s="51" t="n">
        <v>-3</v>
      </c>
      <c r="J46" s="50" t="n">
        <v>508</v>
      </c>
      <c r="L46" t="inlineStr">
        <is>
          <t>Completado</t>
        </is>
      </c>
      <c r="P46" t="inlineStr">
        <is>
          <t>Importado v2.0</t>
        </is>
      </c>
      <c r="Q46" s="49" t="n">
        <v>45973.79666555556</v>
      </c>
    </row>
    <row r="47">
      <c r="A47" s="49" t="n">
        <v>45970.96726364583</v>
      </c>
      <c r="B47" t="inlineStr">
        <is>
          <t>GASTOS FINANCIEROS</t>
        </is>
      </c>
      <c r="E47" t="inlineStr">
        <is>
          <t>Promerica USD (40000003881774)</t>
        </is>
      </c>
      <c r="F47" t="inlineStr">
        <is>
          <t>Tarjeta BNCR</t>
        </is>
      </c>
      <c r="H47" s="50" t="n">
        <v>0</v>
      </c>
      <c r="I47" s="51" t="n">
        <v>-305.5</v>
      </c>
      <c r="J47" s="50" t="n">
        <v>508</v>
      </c>
      <c r="L47" t="inlineStr">
        <is>
          <t>Completado</t>
        </is>
      </c>
      <c r="P47" t="inlineStr">
        <is>
          <t>Importado v2.0</t>
        </is>
      </c>
      <c r="Q47" s="49" t="n">
        <v>45973.79666555556</v>
      </c>
    </row>
    <row r="48">
      <c r="A48" s="49" t="n">
        <v>45970.96726364583</v>
      </c>
      <c r="B48" t="inlineStr">
        <is>
          <t>GASTOS FINANCIEROS</t>
        </is>
      </c>
      <c r="E48" t="inlineStr">
        <is>
          <t>Promerica USD (40000003881774)</t>
        </is>
      </c>
      <c r="F48" t="inlineStr">
        <is>
          <t>Banco Promerica</t>
        </is>
      </c>
      <c r="H48" s="50" t="n">
        <v>0</v>
      </c>
      <c r="I48" s="51" t="n">
        <v>-3</v>
      </c>
      <c r="J48" s="50" t="n">
        <v>508</v>
      </c>
      <c r="L48" t="inlineStr">
        <is>
          <t>Completado</t>
        </is>
      </c>
      <c r="P48" t="inlineStr">
        <is>
          <t>Importado v2.0</t>
        </is>
      </c>
      <c r="Q48" s="49" t="n">
        <v>45973.79666555556</v>
      </c>
    </row>
    <row r="49">
      <c r="A49" s="49" t="n">
        <v>45970.96726365741</v>
      </c>
      <c r="B49" t="inlineStr">
        <is>
          <t>GASTOS FINANCIEROS</t>
        </is>
      </c>
      <c r="E49" t="inlineStr">
        <is>
          <t>Promerica USD (40000003881774)</t>
        </is>
      </c>
      <c r="F49" t="inlineStr">
        <is>
          <t>Tarjeta BNCR</t>
        </is>
      </c>
      <c r="H49" s="50" t="n">
        <v>0</v>
      </c>
      <c r="I49" s="51" t="n">
        <v>-101.83</v>
      </c>
      <c r="J49" s="50" t="n">
        <v>508</v>
      </c>
      <c r="L49" t="inlineStr">
        <is>
          <t>Completado</t>
        </is>
      </c>
      <c r="P49" t="inlineStr">
        <is>
          <t>Importado v2.0</t>
        </is>
      </c>
      <c r="Q49" s="49" t="n">
        <v>45973.79666555556</v>
      </c>
    </row>
    <row r="50">
      <c r="A50" s="49" t="n">
        <v>45970.96726365741</v>
      </c>
      <c r="B50" t="inlineStr">
        <is>
          <t>GASTOS FINANCIEROS</t>
        </is>
      </c>
      <c r="E50" t="inlineStr">
        <is>
          <t>Promerica USD (40000003881774)</t>
        </is>
      </c>
      <c r="F50" t="inlineStr">
        <is>
          <t>Banco Promerica</t>
        </is>
      </c>
      <c r="H50" s="50" t="n">
        <v>0</v>
      </c>
      <c r="I50" s="51" t="n">
        <v>-3</v>
      </c>
      <c r="J50" s="50" t="n">
        <v>508</v>
      </c>
      <c r="L50" t="inlineStr">
        <is>
          <t>Completado</t>
        </is>
      </c>
      <c r="P50" t="inlineStr">
        <is>
          <t>Importado v2.0</t>
        </is>
      </c>
      <c r="Q50" s="49" t="n">
        <v>45973.79666555556</v>
      </c>
    </row>
    <row r="51">
      <c r="A51" s="49" t="n">
        <v>45970.96726365741</v>
      </c>
      <c r="B51" t="inlineStr">
        <is>
          <t>GASTOS OPERATIVOS</t>
        </is>
      </c>
      <c r="E51" t="inlineStr">
        <is>
          <t>Promerica USD (40000003881774)</t>
        </is>
      </c>
      <c r="F51" t="inlineStr">
        <is>
          <t>Proveedor Curso</t>
        </is>
      </c>
      <c r="H51" s="50" t="n">
        <v>0</v>
      </c>
      <c r="I51" s="51" t="n">
        <v>-101.83</v>
      </c>
      <c r="J51" s="50" t="n">
        <v>508</v>
      </c>
      <c r="L51" t="inlineStr">
        <is>
          <t>Completado</t>
        </is>
      </c>
      <c r="P51" t="inlineStr">
        <is>
          <t>Importado v2.0</t>
        </is>
      </c>
      <c r="Q51" s="49" t="n">
        <v>45973.79666555556</v>
      </c>
    </row>
    <row r="52">
      <c r="A52" s="49" t="n">
        <v>45970.96726365741</v>
      </c>
      <c r="B52" t="inlineStr">
        <is>
          <t>GASTOS FINANCIEROS</t>
        </is>
      </c>
      <c r="E52" t="inlineStr">
        <is>
          <t>Promerica USD (40000003881774)</t>
        </is>
      </c>
      <c r="F52" t="inlineStr">
        <is>
          <t>Banco Promerica</t>
        </is>
      </c>
      <c r="H52" s="50" t="n">
        <v>0</v>
      </c>
      <c r="I52" s="51" t="n">
        <v>-0.75</v>
      </c>
      <c r="J52" s="50" t="n">
        <v>508</v>
      </c>
      <c r="L52" t="inlineStr">
        <is>
          <t>Completado</t>
        </is>
      </c>
      <c r="P52" t="inlineStr">
        <is>
          <t>Importado v2.0</t>
        </is>
      </c>
      <c r="Q52" s="49" t="n">
        <v>45973.79666555556</v>
      </c>
    </row>
    <row r="53">
      <c r="A53" s="49" t="n">
        <v>45970.96726365741</v>
      </c>
      <c r="B53" t="inlineStr">
        <is>
          <t>GASTOS FINANCIEROS</t>
        </is>
      </c>
      <c r="E53" t="inlineStr">
        <is>
          <t>Promerica USD (40000003881774)</t>
        </is>
      </c>
      <c r="F53" t="inlineStr">
        <is>
          <t>CARROFACIL DE COSTA RICA</t>
        </is>
      </c>
      <c r="H53" s="50" t="n">
        <v>0</v>
      </c>
      <c r="I53" s="51" t="n">
        <v>-800</v>
      </c>
      <c r="J53" s="50" t="n">
        <v>508</v>
      </c>
      <c r="L53" t="inlineStr">
        <is>
          <t>Completado</t>
        </is>
      </c>
      <c r="P53" t="inlineStr">
        <is>
          <t>Importado v2.0</t>
        </is>
      </c>
      <c r="Q53" s="49" t="n">
        <v>45973.79666555556</v>
      </c>
    </row>
    <row r="54">
      <c r="A54" s="49" t="n">
        <v>45970.96726365741</v>
      </c>
      <c r="B54" t="inlineStr">
        <is>
          <t>INGRESOS</t>
        </is>
      </c>
      <c r="E54" t="inlineStr">
        <is>
          <t>Promerica USD (40000003881774)</t>
        </is>
      </c>
      <c r="F54" t="inlineStr">
        <is>
          <t>GRUPO PORCINAS DE LA COSTA</t>
        </is>
      </c>
      <c r="H54" s="50" t="n">
        <v>0</v>
      </c>
      <c r="I54" s="51" t="n">
        <v>1171.18</v>
      </c>
      <c r="J54" s="50" t="n">
        <v>508</v>
      </c>
      <c r="L54" t="inlineStr">
        <is>
          <t>Completado</t>
        </is>
      </c>
      <c r="P54" t="inlineStr">
        <is>
          <t>Importado v2.0</t>
        </is>
      </c>
      <c r="Q54" s="49" t="n">
        <v>45973.79666555556</v>
      </c>
    </row>
    <row r="55">
      <c r="A55" s="49" t="n">
        <v>45970.96726365741</v>
      </c>
      <c r="B55" t="inlineStr">
        <is>
          <t>INGRESOS</t>
        </is>
      </c>
      <c r="E55" t="inlineStr">
        <is>
          <t>Promerica USD (40000003881774)</t>
        </is>
      </c>
      <c r="F55" t="inlineStr">
        <is>
          <t>RODRIGUEZ ROJAS CARLOS HUMBERTO</t>
        </is>
      </c>
      <c r="H55" s="50" t="n">
        <v>0</v>
      </c>
      <c r="I55" s="51" t="n">
        <v>282.5</v>
      </c>
      <c r="J55" s="50" t="n">
        <v>508</v>
      </c>
      <c r="L55" t="inlineStr">
        <is>
          <t>Completado</t>
        </is>
      </c>
      <c r="P55" t="inlineStr">
        <is>
          <t>Importado v2.0</t>
        </is>
      </c>
      <c r="Q55" s="49" t="n">
        <v>45973.79666555556</v>
      </c>
    </row>
    <row r="56">
      <c r="A56" s="49" t="n">
        <v>45970.96726365741</v>
      </c>
      <c r="B56" t="inlineStr">
        <is>
          <t>INGRESOS</t>
        </is>
      </c>
      <c r="E56" t="inlineStr">
        <is>
          <t>Promerica USD (40000003881774)</t>
        </is>
      </c>
      <c r="F56" t="inlineStr">
        <is>
          <t>VOLIO PARTNERS</t>
        </is>
      </c>
      <c r="H56" s="50" t="n">
        <v>0</v>
      </c>
      <c r="I56" s="51" t="n">
        <v>284.76</v>
      </c>
      <c r="J56" s="50" t="n">
        <v>508</v>
      </c>
      <c r="L56" t="inlineStr">
        <is>
          <t>Completado</t>
        </is>
      </c>
      <c r="P56" t="inlineStr">
        <is>
          <t>Importado v2.0</t>
        </is>
      </c>
      <c r="Q56" s="49" t="n">
        <v>45973.79666555556</v>
      </c>
    </row>
    <row r="57">
      <c r="A57" s="49" t="n">
        <v>45970.96726365741</v>
      </c>
      <c r="B57" t="inlineStr">
        <is>
          <t>INGRESOS</t>
        </is>
      </c>
      <c r="E57" t="inlineStr">
        <is>
          <t>Promerica USD (40000003881774)</t>
        </is>
      </c>
      <c r="F57" t="inlineStr">
        <is>
          <t>SMART WEB SERVICES</t>
        </is>
      </c>
      <c r="H57" s="50" t="n">
        <v>0</v>
      </c>
      <c r="I57" s="51" t="n">
        <v>149.16</v>
      </c>
      <c r="J57" s="50" t="n">
        <v>508</v>
      </c>
      <c r="L57" t="inlineStr">
        <is>
          <t>Completado</t>
        </is>
      </c>
      <c r="P57" t="inlineStr">
        <is>
          <t>Importado v2.0</t>
        </is>
      </c>
      <c r="Q57" s="49" t="n">
        <v>45973.79666555556</v>
      </c>
    </row>
    <row r="58">
      <c r="A58" s="49" t="n">
        <v>45970.96726365741</v>
      </c>
      <c r="B58" t="inlineStr">
        <is>
          <t>INGRESOS</t>
        </is>
      </c>
      <c r="E58" t="inlineStr">
        <is>
          <t>Promerica USD (40000003881774)</t>
        </is>
      </c>
      <c r="F58" t="inlineStr">
        <is>
          <t>GENTRA DE COSTA RICA</t>
        </is>
      </c>
      <c r="H58" s="50" t="n">
        <v>0</v>
      </c>
      <c r="I58" s="51" t="n">
        <v>226</v>
      </c>
      <c r="J58" s="50" t="n">
        <v>508</v>
      </c>
      <c r="L58" t="inlineStr">
        <is>
          <t>Completado</t>
        </is>
      </c>
      <c r="P58" t="inlineStr">
        <is>
          <t>Importado v2.0</t>
        </is>
      </c>
      <c r="Q58" s="49" t="n">
        <v>45973.79666555556</v>
      </c>
    </row>
    <row r="59">
      <c r="A59" s="49" t="n">
        <v>45970.96726365741</v>
      </c>
      <c r="B59" t="inlineStr">
        <is>
          <t>GASTOS OPERATIVOS</t>
        </is>
      </c>
      <c r="E59" t="inlineStr">
        <is>
          <t>Promerica USD (40000003881774)</t>
        </is>
      </c>
      <c r="F59" t="inlineStr">
        <is>
          <t>Don Fernando</t>
        </is>
      </c>
      <c r="H59" s="50" t="n">
        <v>0</v>
      </c>
      <c r="I59" s="51" t="n">
        <v>-226.83</v>
      </c>
      <c r="J59" s="50" t="n">
        <v>508</v>
      </c>
      <c r="L59" t="inlineStr">
        <is>
          <t>Completado</t>
        </is>
      </c>
      <c r="P59" t="inlineStr">
        <is>
          <t>Importado v2.0</t>
        </is>
      </c>
      <c r="Q59" s="49" t="n">
        <v>45973.79666555556</v>
      </c>
    </row>
    <row r="60">
      <c r="A60" s="49" t="n">
        <v>45970.96726365741</v>
      </c>
      <c r="B60" t="inlineStr">
        <is>
          <t>GASTOS OPERATIVOS</t>
        </is>
      </c>
      <c r="E60" t="inlineStr">
        <is>
          <t>Promerica USD (40000003881774)</t>
        </is>
      </c>
      <c r="F60" t="inlineStr">
        <is>
          <t>Farmavalue</t>
        </is>
      </c>
      <c r="H60" s="50" t="n">
        <v>0</v>
      </c>
      <c r="I60" s="51" t="n">
        <v>-40.46</v>
      </c>
      <c r="J60" s="50" t="n">
        <v>508</v>
      </c>
      <c r="L60" t="inlineStr">
        <is>
          <t>Completado</t>
        </is>
      </c>
      <c r="P60" t="inlineStr">
        <is>
          <t>Importado v2.0</t>
        </is>
      </c>
      <c r="Q60" s="49" t="n">
        <v>45973.79666555556</v>
      </c>
    </row>
    <row r="61">
      <c r="A61" s="49" t="n">
        <v>45970.96726365741</v>
      </c>
      <c r="B61" t="inlineStr">
        <is>
          <t>GASTOS OPERATIVOS</t>
        </is>
      </c>
      <c r="E61" t="inlineStr">
        <is>
          <t>Promerica USD (40000003881774)</t>
        </is>
      </c>
      <c r="F61" t="inlineStr">
        <is>
          <t>Unopetrol Barreal</t>
        </is>
      </c>
      <c r="H61" s="50" t="n">
        <v>0</v>
      </c>
      <c r="I61" s="51" t="n">
        <v>-63.03</v>
      </c>
      <c r="J61" s="50" t="n">
        <v>508</v>
      </c>
      <c r="L61" t="inlineStr">
        <is>
          <t>Completado</t>
        </is>
      </c>
      <c r="P61" t="inlineStr">
        <is>
          <t>Importado v2.0</t>
        </is>
      </c>
      <c r="Q61" s="49" t="n">
        <v>45973.79666555556</v>
      </c>
    </row>
    <row r="62">
      <c r="A62" s="49" t="n">
        <v>45970.96726365741</v>
      </c>
      <c r="B62" t="inlineStr">
        <is>
          <t>GASTOS OPERATIVOS</t>
        </is>
      </c>
      <c r="E62" t="inlineStr">
        <is>
          <t>Promerica USD (40000003881774)</t>
        </is>
      </c>
      <c r="F62" t="inlineStr">
        <is>
          <t>Caja Costarricense Seguro Social</t>
        </is>
      </c>
      <c r="H62" s="50" t="n">
        <v>0</v>
      </c>
      <c r="I62" s="51" t="n">
        <v>-733.2</v>
      </c>
      <c r="J62" s="50" t="n">
        <v>508</v>
      </c>
      <c r="L62" t="inlineStr">
        <is>
          <t>Completado</t>
        </is>
      </c>
      <c r="P62" t="inlineStr">
        <is>
          <t>Importado v2.0</t>
        </is>
      </c>
      <c r="Q62" s="49" t="n">
        <v>45973.79666555556</v>
      </c>
    </row>
    <row r="63">
      <c r="A63" s="49" t="n">
        <v>45970.96726365741</v>
      </c>
      <c r="B63" t="inlineStr">
        <is>
          <t>INGRESOS</t>
        </is>
      </c>
      <c r="E63" t="inlineStr">
        <is>
          <t>Promerica USD (40000003881774)</t>
        </is>
      </c>
      <c r="F63" t="inlineStr">
        <is>
          <t>ALMACEN FISCAL DEL PACIFICO</t>
        </is>
      </c>
      <c r="H63" s="50" t="n">
        <v>0</v>
      </c>
      <c r="I63" s="51" t="n">
        <v>761.0599999999999</v>
      </c>
      <c r="J63" s="50" t="n">
        <v>508</v>
      </c>
      <c r="L63" t="inlineStr">
        <is>
          <t>Completado</t>
        </is>
      </c>
      <c r="P63" t="inlineStr">
        <is>
          <t>Importado v2.0</t>
        </is>
      </c>
      <c r="Q63" s="49" t="n">
        <v>45973.79666555556</v>
      </c>
    </row>
    <row r="64">
      <c r="A64" s="49" t="n">
        <v>45970.97982064815</v>
      </c>
      <c r="B64" t="inlineStr">
        <is>
          <t>COMPRAS PARA REVENTA</t>
        </is>
      </c>
      <c r="E64" t="inlineStr">
        <is>
          <t>Por Pagar</t>
        </is>
      </c>
      <c r="F64" t="inlineStr">
        <is>
          <t>Intcomex Costa Rica</t>
        </is>
      </c>
      <c r="H64" s="50" t="n">
        <v>0</v>
      </c>
      <c r="I64" s="51" t="n">
        <v>679.12</v>
      </c>
      <c r="J64" s="50" t="n">
        <v>508</v>
      </c>
      <c r="L64" t="inlineStr">
        <is>
          <t>Pendiente</t>
        </is>
      </c>
      <c r="P64" t="inlineStr">
        <is>
          <t>Importado v2.0</t>
        </is>
      </c>
      <c r="Q64" s="49" t="n">
        <v>45973.79666555556</v>
      </c>
    </row>
    <row r="65">
      <c r="A65" s="49" t="n">
        <v>45970.97982064815</v>
      </c>
      <c r="B65" t="inlineStr">
        <is>
          <t>COMPRAS PARA REVENTA</t>
        </is>
      </c>
      <c r="E65" t="inlineStr">
        <is>
          <t>Por Pagar</t>
        </is>
      </c>
      <c r="F65" t="inlineStr">
        <is>
          <t>Intcomex Costa Rica</t>
        </is>
      </c>
      <c r="H65" s="50" t="n">
        <v>0</v>
      </c>
      <c r="I65" s="51" t="n">
        <v>2317.09</v>
      </c>
      <c r="J65" s="50" t="n">
        <v>508</v>
      </c>
      <c r="L65" t="inlineStr">
        <is>
          <t>Pendiente</t>
        </is>
      </c>
      <c r="P65" t="inlineStr">
        <is>
          <t>Importado v2.0</t>
        </is>
      </c>
      <c r="Q65" s="49" t="n">
        <v>45973.79666555556</v>
      </c>
    </row>
    <row r="66">
      <c r="A66" s="49" t="n">
        <v>45970.97982064815</v>
      </c>
      <c r="B66" t="inlineStr">
        <is>
          <t>COMPRAS PARA REVENTA</t>
        </is>
      </c>
      <c r="E66" t="inlineStr">
        <is>
          <t>Por Pagar</t>
        </is>
      </c>
      <c r="F66" t="inlineStr">
        <is>
          <t>UNOPETROL CR</t>
        </is>
      </c>
      <c r="H66" s="50" t="n">
        <v>0</v>
      </c>
      <c r="I66" s="51" t="n">
        <v>54</v>
      </c>
      <c r="J66" s="50" t="n">
        <v>508</v>
      </c>
      <c r="L66" t="inlineStr">
        <is>
          <t>Pendiente</t>
        </is>
      </c>
      <c r="P66" t="inlineStr">
        <is>
          <t>Importado v2.0</t>
        </is>
      </c>
      <c r="Q66" s="49" t="n">
        <v>45973.79666555556</v>
      </c>
    </row>
    <row r="67">
      <c r="A67" s="49" t="n">
        <v>45970.97982064815</v>
      </c>
      <c r="B67" t="inlineStr">
        <is>
          <t>COMPRAS PARA REVENTA</t>
        </is>
      </c>
      <c r="E67" t="inlineStr">
        <is>
          <t>Por Pagar</t>
        </is>
      </c>
      <c r="F67" t="inlineStr">
        <is>
          <t>INDUSTRIAS BUENOS AIRES</t>
        </is>
      </c>
      <c r="H67" s="50" t="n">
        <v>0</v>
      </c>
      <c r="I67" s="51" t="n">
        <v>194</v>
      </c>
      <c r="J67" s="50" t="n">
        <v>508</v>
      </c>
      <c r="L67" t="inlineStr">
        <is>
          <t>Pendiente</t>
        </is>
      </c>
      <c r="P67" t="inlineStr">
        <is>
          <t>Importado v2.0</t>
        </is>
      </c>
      <c r="Q67" s="49" t="n">
        <v>45973.79666555556</v>
      </c>
    </row>
    <row r="68">
      <c r="A68" s="49" t="n">
        <v>45970.97982064815</v>
      </c>
      <c r="B68" t="inlineStr">
        <is>
          <t>GASTOS FINANCIEROS</t>
        </is>
      </c>
      <c r="E68" t="inlineStr">
        <is>
          <t>Pasivos</t>
        </is>
      </c>
      <c r="F68" t="inlineStr">
        <is>
          <t>VISA 3519</t>
        </is>
      </c>
      <c r="H68" s="50" t="n">
        <v>0</v>
      </c>
      <c r="I68" s="51" t="n">
        <v>1040</v>
      </c>
      <c r="J68" s="50" t="n">
        <v>508</v>
      </c>
      <c r="L68" t="inlineStr">
        <is>
          <t>Pendiente</t>
        </is>
      </c>
      <c r="P68" t="inlineStr">
        <is>
          <t>Importado v2.0</t>
        </is>
      </c>
      <c r="Q68" s="49" t="n">
        <v>45973.79666555556</v>
      </c>
    </row>
    <row r="69">
      <c r="A69" s="49" t="n">
        <v>45970.97982064815</v>
      </c>
      <c r="B69" t="inlineStr">
        <is>
          <t>GASTOS FINANCIEROS</t>
        </is>
      </c>
      <c r="E69" t="inlineStr">
        <is>
          <t>Pasivos</t>
        </is>
      </c>
      <c r="F69" t="inlineStr">
        <is>
          <t>VISA 9837</t>
        </is>
      </c>
      <c r="H69" s="50" t="n">
        <v>0</v>
      </c>
      <c r="I69" s="51" t="n">
        <v>5318</v>
      </c>
      <c r="J69" s="50" t="n">
        <v>508</v>
      </c>
      <c r="L69" t="inlineStr">
        <is>
          <t>Pendiente</t>
        </is>
      </c>
      <c r="P69" t="inlineStr">
        <is>
          <t>Importado v2.0</t>
        </is>
      </c>
      <c r="Q69" s="49" t="n">
        <v>45973.79666555556</v>
      </c>
    </row>
    <row r="70">
      <c r="A70" s="49" t="n">
        <v>45970.97982064815</v>
      </c>
      <c r="B70" t="inlineStr">
        <is>
          <t>GASTOS FINANCIEROS</t>
        </is>
      </c>
      <c r="E70" t="inlineStr">
        <is>
          <t>Pasivos</t>
        </is>
      </c>
      <c r="F70" t="inlineStr">
        <is>
          <t>VISA 6386</t>
        </is>
      </c>
      <c r="H70" s="50" t="n">
        <v>0</v>
      </c>
      <c r="I70" s="51" t="n">
        <v>525</v>
      </c>
      <c r="J70" s="50" t="n">
        <v>508</v>
      </c>
      <c r="L70" t="inlineStr">
        <is>
          <t>Pendiente</t>
        </is>
      </c>
      <c r="P70" t="inlineStr">
        <is>
          <t>Importado v2.0</t>
        </is>
      </c>
      <c r="Q70" s="49" t="n">
        <v>45973.79666555556</v>
      </c>
    </row>
    <row r="71">
      <c r="A71" s="49" t="n">
        <v>45970.97982064815</v>
      </c>
      <c r="B71" t="inlineStr">
        <is>
          <t>GASTOS FINANCIEROS</t>
        </is>
      </c>
      <c r="E71" t="inlineStr">
        <is>
          <t>Pasivos</t>
        </is>
      </c>
      <c r="F71" t="inlineStr">
        <is>
          <t>MC 8759</t>
        </is>
      </c>
      <c r="H71" s="50" t="n">
        <v>0</v>
      </c>
      <c r="I71" s="51" t="n">
        <v>5088</v>
      </c>
      <c r="J71" s="50" t="n">
        <v>508</v>
      </c>
      <c r="L71" t="inlineStr">
        <is>
          <t>Pendiente</t>
        </is>
      </c>
      <c r="P71" t="inlineStr">
        <is>
          <t>Importado v2.0</t>
        </is>
      </c>
      <c r="Q71" s="49" t="n">
        <v>45973.79666555556</v>
      </c>
    </row>
    <row r="72">
      <c r="A72" s="49" t="n">
        <v>45970.97982064815</v>
      </c>
      <c r="B72" t="inlineStr">
        <is>
          <t>GASTOS FINANCIEROS</t>
        </is>
      </c>
      <c r="E72" t="inlineStr">
        <is>
          <t>Pasivos</t>
        </is>
      </c>
      <c r="F72" t="inlineStr">
        <is>
          <t>VISA 9550</t>
        </is>
      </c>
      <c r="H72" s="50" t="n">
        <v>0</v>
      </c>
      <c r="I72" s="51" t="n">
        <v>2687</v>
      </c>
      <c r="J72" s="50" t="n">
        <v>508</v>
      </c>
      <c r="L72" t="inlineStr">
        <is>
          <t>Pendiente</t>
        </is>
      </c>
      <c r="P72" t="inlineStr">
        <is>
          <t>Importado v2.0</t>
        </is>
      </c>
      <c r="Q72" s="49" t="n">
        <v>45973.79666555556</v>
      </c>
    </row>
    <row r="73">
      <c r="A73" s="49" t="n">
        <v>45970.97982064815</v>
      </c>
      <c r="B73" t="inlineStr">
        <is>
          <t>GASTOS FINANCIEROS</t>
        </is>
      </c>
      <c r="E73" t="inlineStr">
        <is>
          <t>Pasivos</t>
        </is>
      </c>
      <c r="F73" t="inlineStr">
        <is>
          <t>Nissan</t>
        </is>
      </c>
      <c r="H73" s="50" t="n">
        <v>0</v>
      </c>
      <c r="I73" s="51" t="n">
        <v>20142</v>
      </c>
      <c r="J73" s="50" t="n">
        <v>508</v>
      </c>
      <c r="L73" t="inlineStr">
        <is>
          <t>Pendiente</t>
        </is>
      </c>
      <c r="P73" t="inlineStr">
        <is>
          <t>Importado v2.0</t>
        </is>
      </c>
      <c r="Q73" s="49" t="n">
        <v>45973.79666555556</v>
      </c>
    </row>
    <row r="74">
      <c r="A74" s="49" t="n">
        <v>45970.97982064815</v>
      </c>
      <c r="B74" t="inlineStr">
        <is>
          <t>GASTOS OPERATIVOS</t>
        </is>
      </c>
      <c r="E74" t="inlineStr">
        <is>
          <t>Pasivos</t>
        </is>
      </c>
      <c r="F74" t="inlineStr">
        <is>
          <t>CCSS</t>
        </is>
      </c>
      <c r="H74" s="50" t="n">
        <v>0</v>
      </c>
      <c r="I74" s="51" t="n">
        <v>706.12</v>
      </c>
      <c r="J74" s="50" t="n">
        <v>508</v>
      </c>
      <c r="L74" t="inlineStr">
        <is>
          <t>Pendiente</t>
        </is>
      </c>
      <c r="P74" t="inlineStr">
        <is>
          <t>Importado v2.0</t>
        </is>
      </c>
      <c r="Q74" s="49" t="n">
        <v>45973.79666555556</v>
      </c>
    </row>
    <row r="75">
      <c r="A75" s="49" t="n">
        <v>45970.97982064815</v>
      </c>
      <c r="B75" t="inlineStr">
        <is>
          <t>GASTOS OPERATIVOS</t>
        </is>
      </c>
      <c r="E75" t="inlineStr">
        <is>
          <t>Pasivos</t>
        </is>
      </c>
      <c r="F75" t="inlineStr">
        <is>
          <t>Hacienda</t>
        </is>
      </c>
      <c r="H75" s="50" t="n">
        <v>0</v>
      </c>
      <c r="I75" s="51" t="n">
        <v>9804</v>
      </c>
      <c r="J75" s="50" t="n">
        <v>508</v>
      </c>
      <c r="L75" t="inlineStr">
        <is>
          <t>Pendiente</t>
        </is>
      </c>
      <c r="P75" t="inlineStr">
        <is>
          <t>Importado v2.0</t>
        </is>
      </c>
      <c r="Q75" s="49" t="n">
        <v>45973.79666555556</v>
      </c>
    </row>
    <row r="76">
      <c r="A76" s="49" t="n">
        <v>45970.97982065972</v>
      </c>
      <c r="B76" t="inlineStr">
        <is>
          <t>INGRESOS</t>
        </is>
      </c>
      <c r="E76" t="inlineStr">
        <is>
          <t>Por Cobrar</t>
        </is>
      </c>
      <c r="F76" t="inlineStr">
        <is>
          <t>OPERATION MANAGMENT OF TIERRA MAGNIFICA</t>
        </is>
      </c>
      <c r="H76" s="50" t="n">
        <v>0</v>
      </c>
      <c r="I76" s="51" t="n">
        <v>209.06</v>
      </c>
      <c r="J76" s="50" t="n">
        <v>508</v>
      </c>
      <c r="L76" t="inlineStr">
        <is>
          <t>Pendiente</t>
        </is>
      </c>
      <c r="P76" t="inlineStr">
        <is>
          <t>Importado v2.0</t>
        </is>
      </c>
      <c r="Q76" s="49" t="n">
        <v>45973.79666555556</v>
      </c>
    </row>
    <row r="77">
      <c r="A77" s="49" t="n">
        <v>45970.97982065972</v>
      </c>
      <c r="B77" t="inlineStr">
        <is>
          <t>INGRESOS</t>
        </is>
      </c>
      <c r="E77" t="inlineStr">
        <is>
          <t>Por Cobrar</t>
        </is>
      </c>
      <c r="F77" t="inlineStr">
        <is>
          <t>CPF SERVICIOS RADIOLÓGICOS S.A.</t>
        </is>
      </c>
      <c r="H77" s="50" t="n">
        <v>0</v>
      </c>
      <c r="I77" s="51" t="n">
        <v>56.5</v>
      </c>
      <c r="J77" s="50" t="n">
        <v>508</v>
      </c>
      <c r="L77" t="inlineStr">
        <is>
          <t>Pendiente</t>
        </is>
      </c>
      <c r="P77" t="inlineStr">
        <is>
          <t>Importado v2.0</t>
        </is>
      </c>
      <c r="Q77" s="49" t="n">
        <v>45973.79666555556</v>
      </c>
    </row>
    <row r="78">
      <c r="A78" s="49" t="n">
        <v>45970.97982065972</v>
      </c>
      <c r="B78" t="inlineStr">
        <is>
          <t>INGRESOS</t>
        </is>
      </c>
      <c r="E78" t="inlineStr">
        <is>
          <t>Por Cobrar</t>
        </is>
      </c>
      <c r="F78" t="inlineStr">
        <is>
          <t>ORTODEC S.A.</t>
        </is>
      </c>
      <c r="H78" s="50" t="n">
        <v>0</v>
      </c>
      <c r="I78" s="51" t="n">
        <v>56.5</v>
      </c>
      <c r="J78" s="50" t="n">
        <v>508</v>
      </c>
      <c r="L78" t="inlineStr">
        <is>
          <t>Pendiente</t>
        </is>
      </c>
      <c r="P78" t="inlineStr">
        <is>
          <t>Importado v2.0</t>
        </is>
      </c>
      <c r="Q78" s="49" t="n">
        <v>45973.79666555556</v>
      </c>
    </row>
    <row r="79">
      <c r="A79" s="49" t="n">
        <v>45970.97982065972</v>
      </c>
      <c r="B79" t="inlineStr">
        <is>
          <t>INGRESOS</t>
        </is>
      </c>
      <c r="E79" t="inlineStr">
        <is>
          <t>Por Cobrar</t>
        </is>
      </c>
      <c r="F79" t="inlineStr">
        <is>
          <t>CEMSO</t>
        </is>
      </c>
      <c r="H79" s="50" t="n">
        <v>0</v>
      </c>
      <c r="I79" s="51" t="n">
        <v>333.92</v>
      </c>
      <c r="J79" s="50" t="n">
        <v>508</v>
      </c>
      <c r="L79" t="inlineStr">
        <is>
          <t>Pendiente</t>
        </is>
      </c>
      <c r="P79" t="inlineStr">
        <is>
          <t>Importado v2.0</t>
        </is>
      </c>
      <c r="Q79" s="49" t="n">
        <v>45973.79666555556</v>
      </c>
    </row>
    <row r="80">
      <c r="A80" s="49" t="n">
        <v>45970.97982065972</v>
      </c>
      <c r="B80" t="inlineStr">
        <is>
          <t>INGRESOS</t>
        </is>
      </c>
      <c r="E80" t="inlineStr">
        <is>
          <t>Por Cobrar</t>
        </is>
      </c>
      <c r="F80" t="inlineStr">
        <is>
          <t>GRUPO ACCION COMERCIAL S.A.</t>
        </is>
      </c>
      <c r="H80" s="50" t="n">
        <v>0</v>
      </c>
      <c r="I80" s="51" t="n">
        <v>1689.04</v>
      </c>
      <c r="J80" s="50" t="n">
        <v>508</v>
      </c>
      <c r="L80" t="inlineStr">
        <is>
          <t>Pendiente</t>
        </is>
      </c>
      <c r="P80" t="inlineStr">
        <is>
          <t>Importado v2.0</t>
        </is>
      </c>
      <c r="Q80" s="49" t="n">
        <v>45973.79666555556</v>
      </c>
    </row>
    <row r="81">
      <c r="A81" s="49" t="n">
        <v>45970.97982065972</v>
      </c>
      <c r="B81" t="inlineStr">
        <is>
          <t>INGRESOS</t>
        </is>
      </c>
      <c r="E81" t="inlineStr">
        <is>
          <t>Por Cobrar</t>
        </is>
      </c>
      <c r="F81" t="inlineStr">
        <is>
          <t>VWR INTERNATIONAL LTDA.</t>
        </is>
      </c>
      <c r="H81" s="50" t="n">
        <v>0</v>
      </c>
      <c r="I81" s="51" t="n">
        <v>2800</v>
      </c>
      <c r="J81" s="50" t="n">
        <v>508</v>
      </c>
      <c r="L81" t="inlineStr">
        <is>
          <t>Pendiente</t>
        </is>
      </c>
      <c r="P81" t="inlineStr">
        <is>
          <t>Importado v2.0</t>
        </is>
      </c>
      <c r="Q81" s="49" t="n">
        <v>45973.79666555556</v>
      </c>
    </row>
    <row r="82">
      <c r="A82" s="49" t="n">
        <v>45970.97982065972</v>
      </c>
      <c r="B82" t="inlineStr">
        <is>
          <t>INGRESOS</t>
        </is>
      </c>
      <c r="E82" t="inlineStr">
        <is>
          <t>Por Cobrar</t>
        </is>
      </c>
      <c r="F82" t="inlineStr">
        <is>
          <t>ORTODONCIA DE LA CRUZ</t>
        </is>
      </c>
      <c r="H82" s="50" t="n">
        <v>0</v>
      </c>
      <c r="I82" s="51" t="n">
        <v>494.5</v>
      </c>
      <c r="J82" s="50" t="n">
        <v>508</v>
      </c>
      <c r="L82" t="inlineStr">
        <is>
          <t>Pendiente</t>
        </is>
      </c>
      <c r="P82" t="inlineStr">
        <is>
          <t>Importado v2.0</t>
        </is>
      </c>
      <c r="Q82" s="49" t="n">
        <v>45973.79666556713</v>
      </c>
    </row>
    <row r="83">
      <c r="A83" s="49" t="n">
        <v>45970.97982065972</v>
      </c>
      <c r="B83" t="inlineStr">
        <is>
          <t>INGRESOS</t>
        </is>
      </c>
      <c r="E83" t="inlineStr">
        <is>
          <t>Por Cobrar</t>
        </is>
      </c>
      <c r="F83" t="inlineStr">
        <is>
          <t>SOLUSA CONSOLIDATORS AND FORWARDIG S.A.</t>
        </is>
      </c>
      <c r="H83" s="50" t="n">
        <v>0</v>
      </c>
      <c r="I83" s="51" t="n">
        <v>378.35</v>
      </c>
      <c r="J83" s="50" t="n">
        <v>508</v>
      </c>
      <c r="L83" t="inlineStr">
        <is>
          <t>Pendiente</t>
        </is>
      </c>
      <c r="P83" t="inlineStr">
        <is>
          <t>Importado v2.0</t>
        </is>
      </c>
      <c r="Q83" s="49" t="n">
        <v>45973.79666556713</v>
      </c>
    </row>
    <row r="84">
      <c r="A84" s="49" t="n">
        <v>45970.97982065972</v>
      </c>
      <c r="B84" t="inlineStr">
        <is>
          <t>INGRESOS</t>
        </is>
      </c>
      <c r="E84" t="inlineStr">
        <is>
          <t>Por Cobrar</t>
        </is>
      </c>
      <c r="F84" t="inlineStr">
        <is>
          <t>SUPPLY NET C.R.W.H SOCIEDAD ANONIMA</t>
        </is>
      </c>
      <c r="H84" s="50" t="n">
        <v>0</v>
      </c>
      <c r="I84" s="51" t="n">
        <v>276.85</v>
      </c>
      <c r="J84" s="50" t="n">
        <v>508</v>
      </c>
      <c r="L84" t="inlineStr">
        <is>
          <t>Pendiente</t>
        </is>
      </c>
      <c r="P84" t="inlineStr">
        <is>
          <t>Importado v2.0</t>
        </is>
      </c>
      <c r="Q84" s="49" t="n">
        <v>45973.79666556713</v>
      </c>
    </row>
    <row r="85">
      <c r="A85" s="49" t="n">
        <v>45970.97982065972</v>
      </c>
      <c r="B85" t="inlineStr">
        <is>
          <t>INGRESOS</t>
        </is>
      </c>
      <c r="E85" t="inlineStr">
        <is>
          <t>Por Cobrar</t>
        </is>
      </c>
      <c r="F85" t="inlineStr">
        <is>
          <t>WAIPIO SOCIEDAD ANONIMA</t>
        </is>
      </c>
      <c r="H85" s="50" t="n">
        <v>0</v>
      </c>
      <c r="I85" s="51" t="n">
        <v>687.27</v>
      </c>
      <c r="J85" s="50" t="n">
        <v>508</v>
      </c>
      <c r="L85" t="inlineStr">
        <is>
          <t>Pendiente</t>
        </is>
      </c>
      <c r="P85" t="inlineStr">
        <is>
          <t>Importado v2.0</t>
        </is>
      </c>
      <c r="Q85" s="49" t="n">
        <v>45973.79666556713</v>
      </c>
    </row>
    <row r="86">
      <c r="A86" s="49" t="n">
        <v>45970.97982065972</v>
      </c>
      <c r="B86" t="inlineStr">
        <is>
          <t>INGRESOS</t>
        </is>
      </c>
      <c r="E86" t="inlineStr">
        <is>
          <t>Por Cobrar</t>
        </is>
      </c>
      <c r="F86" t="inlineStr">
        <is>
          <t>GENTRA DE COSTA RICA SOCIEDAD ANONIMA</t>
        </is>
      </c>
      <c r="H86" s="50" t="n">
        <v>0</v>
      </c>
      <c r="I86" s="51" t="n">
        <v>183.63</v>
      </c>
      <c r="J86" s="50" t="n">
        <v>508</v>
      </c>
      <c r="L86" t="inlineStr">
        <is>
          <t>Pendiente</t>
        </is>
      </c>
      <c r="P86" t="inlineStr">
        <is>
          <t>Importado v2.0</t>
        </is>
      </c>
      <c r="Q86" s="49" t="n">
        <v>45973.79666556713</v>
      </c>
    </row>
    <row r="87">
      <c r="A87" s="49" t="n">
        <v>45970.97982065972</v>
      </c>
      <c r="B87" t="inlineStr">
        <is>
          <t>INGRESOS</t>
        </is>
      </c>
      <c r="E87" t="inlineStr">
        <is>
          <t>Por Cobrar</t>
        </is>
      </c>
      <c r="F87" t="inlineStr">
        <is>
          <t>CENTRO INTEGRAL DE ONCOLOGIA CIO SRL</t>
        </is>
      </c>
      <c r="H87" s="50" t="n">
        <v>0</v>
      </c>
      <c r="I87" s="51" t="n">
        <v>687.05</v>
      </c>
      <c r="J87" s="50" t="n">
        <v>508</v>
      </c>
      <c r="L87" t="inlineStr">
        <is>
          <t>Pendiente</t>
        </is>
      </c>
      <c r="P87" t="inlineStr">
        <is>
          <t>Importado v2.0</t>
        </is>
      </c>
      <c r="Q87" s="49" t="n">
        <v>45973.79666556713</v>
      </c>
    </row>
    <row r="88">
      <c r="A88" s="49" t="n">
        <v>45970.97982065972</v>
      </c>
      <c r="B88" t="inlineStr">
        <is>
          <t>INGRESOS</t>
        </is>
      </c>
      <c r="E88" t="inlineStr">
        <is>
          <t>Por Cobrar</t>
        </is>
      </c>
      <c r="F88" t="inlineStr">
        <is>
          <t>ALMACEN FISCAL DEL PACIFICO ALFIPAC SOCIEDAD ANONIMA</t>
        </is>
      </c>
      <c r="H88" s="50" t="n">
        <v>0</v>
      </c>
      <c r="I88" s="51" t="n">
        <v>761.05</v>
      </c>
      <c r="J88" s="50" t="n">
        <v>508</v>
      </c>
      <c r="L88" t="inlineStr">
        <is>
          <t>Pendiente</t>
        </is>
      </c>
      <c r="P88" t="inlineStr">
        <is>
          <t>Importado v2.0</t>
        </is>
      </c>
      <c r="Q88" s="49" t="n">
        <v>45973.79666556713</v>
      </c>
    </row>
    <row r="89">
      <c r="A89" s="49" t="n">
        <v>45970.97982065972</v>
      </c>
      <c r="B89" t="inlineStr">
        <is>
          <t>INGRESOS</t>
        </is>
      </c>
      <c r="E89" t="inlineStr">
        <is>
          <t>Por Cobrar</t>
        </is>
      </c>
      <c r="F89" t="inlineStr">
        <is>
          <t>SEVILLA NAVARRO EDGAR</t>
        </is>
      </c>
      <c r="H89" s="50" t="n">
        <v>0</v>
      </c>
      <c r="I89" s="51" t="n">
        <v>169.5</v>
      </c>
      <c r="J89" s="50" t="n">
        <v>508</v>
      </c>
      <c r="L89" t="inlineStr">
        <is>
          <t>Pendiente</t>
        </is>
      </c>
      <c r="P89" t="inlineStr">
        <is>
          <t>Importado v2.0</t>
        </is>
      </c>
      <c r="Q89" s="49" t="n">
        <v>45973.79666556713</v>
      </c>
    </row>
    <row r="90">
      <c r="A90" s="49" t="n">
        <v>45970.97982065972</v>
      </c>
      <c r="B90" t="inlineStr">
        <is>
          <t>INGRESOS</t>
        </is>
      </c>
      <c r="E90" t="inlineStr">
        <is>
          <t>Por Cobrar</t>
        </is>
      </c>
      <c r="F90" t="inlineStr">
        <is>
          <t>PEREZ MORALES FRANCISCO</t>
        </is>
      </c>
      <c r="H90" s="50" t="n">
        <v>0</v>
      </c>
      <c r="I90" s="51" t="n">
        <v>42.38</v>
      </c>
      <c r="J90" s="50" t="n">
        <v>508</v>
      </c>
      <c r="L90" t="inlineStr">
        <is>
          <t>Pendiente</t>
        </is>
      </c>
      <c r="P90" t="inlineStr">
        <is>
          <t>Importado v2.0</t>
        </is>
      </c>
      <c r="Q90" s="49" t="n">
        <v>45973.79666556713</v>
      </c>
    </row>
    <row r="91">
      <c r="A91" s="49" t="n">
        <v>45970.97982067129</v>
      </c>
      <c r="B91" t="inlineStr">
        <is>
          <t>INGRESOS</t>
        </is>
      </c>
      <c r="E91" t="inlineStr">
        <is>
          <t>Por Cobrar</t>
        </is>
      </c>
      <c r="F91" t="inlineStr">
        <is>
          <t>BANDOGO SOLUCIONES TECNOLOGICAS SOCIEDAD ANONIMA</t>
        </is>
      </c>
      <c r="H91" s="50" t="n">
        <v>0</v>
      </c>
      <c r="I91" s="51" t="n">
        <v>67.8</v>
      </c>
      <c r="J91" s="50" t="n">
        <v>508</v>
      </c>
      <c r="L91" t="inlineStr">
        <is>
          <t>Pendiente</t>
        </is>
      </c>
      <c r="P91" t="inlineStr">
        <is>
          <t>Importado v2.0</t>
        </is>
      </c>
      <c r="Q91" s="49" t="n">
        <v>45973.79666556713</v>
      </c>
    </row>
    <row r="92">
      <c r="A92" s="49" t="n">
        <v>45970.97982067129</v>
      </c>
      <c r="B92" t="inlineStr">
        <is>
          <t>INGRESOS</t>
        </is>
      </c>
      <c r="E92" t="inlineStr">
        <is>
          <t>Por Cobrar</t>
        </is>
      </c>
      <c r="F92" t="inlineStr">
        <is>
          <t>GOMEZ AJOY EDGAR LUIS</t>
        </is>
      </c>
      <c r="H92" s="50" t="n">
        <v>0</v>
      </c>
      <c r="I92" s="51" t="n">
        <v>113</v>
      </c>
      <c r="J92" s="50" t="n">
        <v>508</v>
      </c>
      <c r="L92" t="inlineStr">
        <is>
          <t>Pendiente</t>
        </is>
      </c>
      <c r="P92" t="inlineStr">
        <is>
          <t>Importado v2.0</t>
        </is>
      </c>
      <c r="Q92" s="49" t="n">
        <v>45973.79666556713</v>
      </c>
    </row>
    <row r="93">
      <c r="A93" s="49" t="n">
        <v>45970.97982067129</v>
      </c>
      <c r="B93" t="inlineStr">
        <is>
          <t>INGRESOS</t>
        </is>
      </c>
      <c r="E93" t="inlineStr">
        <is>
          <t>Por Cobrar</t>
        </is>
      </c>
      <c r="F93" t="inlineStr">
        <is>
          <t>GLOBAL AUTOMOTRIZ DE COSTA RICA GACR SOCIEDAD ANONIMA</t>
        </is>
      </c>
      <c r="H93" s="50" t="n">
        <v>0</v>
      </c>
      <c r="I93" s="51" t="n">
        <v>439.61</v>
      </c>
      <c r="J93" s="50" t="n">
        <v>508</v>
      </c>
      <c r="L93" t="inlineStr">
        <is>
          <t>Pendiente</t>
        </is>
      </c>
      <c r="P93" t="inlineStr">
        <is>
          <t>Importado v2.0</t>
        </is>
      </c>
      <c r="Q93" s="49" t="n">
        <v>45973.79666556713</v>
      </c>
    </row>
    <row r="94">
      <c r="A94" s="49" t="n">
        <v>45970.97982067129</v>
      </c>
      <c r="B94" t="inlineStr">
        <is>
          <t>INGRESOS</t>
        </is>
      </c>
      <c r="E94" t="inlineStr">
        <is>
          <t>Por Cobrar</t>
        </is>
      </c>
      <c r="F94" t="inlineStr">
        <is>
          <t>RODRIGUEZ ROJAS CARLOS HUMBERTO</t>
        </is>
      </c>
      <c r="H94" s="50" t="n">
        <v>0</v>
      </c>
      <c r="I94" s="51" t="n">
        <v>282.5</v>
      </c>
      <c r="J94" s="50" t="n">
        <v>508</v>
      </c>
      <c r="L94" t="inlineStr">
        <is>
          <t>Pendiente</t>
        </is>
      </c>
      <c r="P94" t="inlineStr">
        <is>
          <t>Importado v2.0</t>
        </is>
      </c>
      <c r="Q94" s="49" t="n">
        <v>45973.79666556713</v>
      </c>
    </row>
    <row r="95">
      <c r="A95" s="49" t="n">
        <v>45970.97982067129</v>
      </c>
      <c r="B95" t="inlineStr">
        <is>
          <t>INGRESOS</t>
        </is>
      </c>
      <c r="E95" t="inlineStr">
        <is>
          <t>Por Cobrar</t>
        </is>
      </c>
      <c r="F95" t="inlineStr">
        <is>
          <t>3-102-887892 SOCIEDAD DE RESPONSABILIDAD LIMITADA</t>
        </is>
      </c>
      <c r="H95" s="50" t="n">
        <v>0</v>
      </c>
      <c r="I95" s="51" t="n">
        <v>691.5599999999999</v>
      </c>
      <c r="J95" s="50" t="n">
        <v>508</v>
      </c>
      <c r="L95" t="inlineStr">
        <is>
          <t>Pendiente</t>
        </is>
      </c>
      <c r="P95" t="inlineStr">
        <is>
          <t>Importado v2.0</t>
        </is>
      </c>
      <c r="Q95" s="49" t="n">
        <v>45973.79666556713</v>
      </c>
    </row>
    <row r="96">
      <c r="A96" s="49" t="n">
        <v>45970.97982067129</v>
      </c>
      <c r="B96" t="inlineStr">
        <is>
          <t>INGRESOS</t>
        </is>
      </c>
      <c r="E96" t="inlineStr">
        <is>
          <t>Por Cobrar</t>
        </is>
      </c>
      <c r="F96" t="inlineStr">
        <is>
          <t>ASOCIACION COSTARRICENSE DE AGENCIAS DE CARGA Y LOGISTICA INTERNACIONAL ACACIA</t>
        </is>
      </c>
      <c r="H96" s="50" t="n">
        <v>0</v>
      </c>
      <c r="I96" s="51" t="n">
        <v>333.35</v>
      </c>
      <c r="J96" s="50" t="n">
        <v>508</v>
      </c>
      <c r="L96" t="inlineStr">
        <is>
          <t>Pendiente</t>
        </is>
      </c>
      <c r="P96" t="inlineStr">
        <is>
          <t>Importado v2.0</t>
        </is>
      </c>
      <c r="Q96" s="49" t="n">
        <v>45973.79666556713</v>
      </c>
    </row>
    <row r="97">
      <c r="A97" s="49" t="n">
        <v>45970.97982067129</v>
      </c>
      <c r="B97" t="inlineStr">
        <is>
          <t>INGRESOS</t>
        </is>
      </c>
      <c r="E97" t="inlineStr">
        <is>
          <t>Por Cobrar</t>
        </is>
      </c>
      <c r="F97" t="inlineStr">
        <is>
          <t>MELENDEZ MORALES MONICA</t>
        </is>
      </c>
      <c r="H97" s="50" t="n">
        <v>0</v>
      </c>
      <c r="I97" s="51" t="n">
        <v>113</v>
      </c>
      <c r="J97" s="50" t="n">
        <v>508</v>
      </c>
      <c r="L97" t="inlineStr">
        <is>
          <t>Pendiente</t>
        </is>
      </c>
      <c r="P97" t="inlineStr">
        <is>
          <t>Importado v2.0</t>
        </is>
      </c>
      <c r="Q97" s="49" t="n">
        <v>45973.79666556713</v>
      </c>
    </row>
    <row r="98">
      <c r="A98" s="49" t="n">
        <v>45971.30795472222</v>
      </c>
      <c r="B98" t="inlineStr">
        <is>
          <t>COMPRAS PARA REVENTA</t>
        </is>
      </c>
      <c r="E98" t="inlineStr">
        <is>
          <t>Por Pagar</t>
        </is>
      </c>
      <c r="F98" t="inlineStr">
        <is>
          <t>INTCOMEX Costa Rica</t>
        </is>
      </c>
      <c r="H98" s="50" t="n">
        <v>0</v>
      </c>
      <c r="I98" s="51" t="n">
        <v>3137.26</v>
      </c>
      <c r="J98" s="50" t="n">
        <v>508</v>
      </c>
      <c r="L98" t="inlineStr">
        <is>
          <t>Pagada</t>
        </is>
      </c>
      <c r="P98" t="inlineStr">
        <is>
          <t>Importado v2.0</t>
        </is>
      </c>
      <c r="Q98" s="49" t="n">
        <v>45973.79666556713</v>
      </c>
    </row>
    <row r="99">
      <c r="A99" s="49" t="n">
        <v>45971.30795472222</v>
      </c>
      <c r="B99" t="inlineStr">
        <is>
          <t>COMPRAS PARA REVENTA</t>
        </is>
      </c>
      <c r="E99" t="inlineStr">
        <is>
          <t>Por Pagar</t>
        </is>
      </c>
      <c r="F99" t="inlineStr">
        <is>
          <t>EUROCOMP DE COSTA RICA S.A.</t>
        </is>
      </c>
      <c r="H99" s="50" t="n">
        <v>0</v>
      </c>
      <c r="I99" s="51" t="n">
        <v>2007.68</v>
      </c>
      <c r="J99" s="50" t="n">
        <v>508</v>
      </c>
      <c r="L99" t="inlineStr">
        <is>
          <t>Pendiente</t>
        </is>
      </c>
      <c r="P99" t="inlineStr">
        <is>
          <t>Importado v2.0</t>
        </is>
      </c>
      <c r="Q99" s="49" t="n">
        <v>45973.79666556713</v>
      </c>
    </row>
    <row r="100">
      <c r="A100" s="49" t="n">
        <v>45971.30795472222</v>
      </c>
      <c r="B100" t="inlineStr">
        <is>
          <t>COMPRAS PARA REVENTA</t>
        </is>
      </c>
      <c r="E100" t="inlineStr">
        <is>
          <t>Por Pagar</t>
        </is>
      </c>
      <c r="F100" t="inlineStr">
        <is>
          <t>EUROCOMP DE COSTA RICA S.A.</t>
        </is>
      </c>
      <c r="H100" s="50" t="n">
        <v>0</v>
      </c>
      <c r="I100" s="51" t="n">
        <v>16.92</v>
      </c>
      <c r="J100" s="50" t="n">
        <v>508</v>
      </c>
      <c r="L100" t="inlineStr">
        <is>
          <t>Pendiente</t>
        </is>
      </c>
      <c r="P100" t="inlineStr">
        <is>
          <t>Importado v2.0</t>
        </is>
      </c>
      <c r="Q100" s="49" t="n">
        <v>45973.79666556713</v>
      </c>
    </row>
    <row r="101">
      <c r="A101" s="49" t="n">
        <v>45971</v>
      </c>
      <c r="B101" t="inlineStr">
        <is>
          <t>GASTOS OPERATIVOS</t>
        </is>
      </c>
      <c r="E101" t="inlineStr">
        <is>
          <t>Tarjeta BNCR Visa 3519</t>
        </is>
      </c>
      <c r="F101" t="inlineStr">
        <is>
          <t>Uber</t>
        </is>
      </c>
      <c r="H101" s="50" t="n">
        <v>0</v>
      </c>
      <c r="I101" s="51" t="n">
        <v>2.21</v>
      </c>
      <c r="J101" s="50" t="n">
        <v>508</v>
      </c>
      <c r="L101" t="inlineStr">
        <is>
          <t>Completado</t>
        </is>
      </c>
      <c r="P101" t="inlineStr">
        <is>
          <t>Importado v2.0</t>
        </is>
      </c>
      <c r="Q101" s="49" t="n">
        <v>45973.79666556713</v>
      </c>
    </row>
    <row r="102">
      <c r="A102" s="49" t="n">
        <v>45971</v>
      </c>
      <c r="B102" t="inlineStr">
        <is>
          <t>COMPRAS PARA REVENTA</t>
        </is>
      </c>
      <c r="E102" t="inlineStr">
        <is>
          <t>Promerica USD (40000003881774)</t>
        </is>
      </c>
      <c r="F102" t="inlineStr">
        <is>
          <t>INTCOMEX Costa Rica</t>
        </is>
      </c>
      <c r="H102" s="50" t="n">
        <v>0</v>
      </c>
      <c r="I102" s="51" t="n">
        <v>-3137.26</v>
      </c>
      <c r="J102" s="50" t="n">
        <v>508</v>
      </c>
      <c r="L102" t="inlineStr">
        <is>
          <t>Completado</t>
        </is>
      </c>
      <c r="P102" t="inlineStr">
        <is>
          <t>Importado v2.0</t>
        </is>
      </c>
      <c r="Q102" s="49" t="n">
        <v>45973.79666556713</v>
      </c>
    </row>
    <row r="103">
      <c r="A103" s="49" t="n">
        <v>45971</v>
      </c>
      <c r="B103" t="inlineStr">
        <is>
          <t>GASTOS FINANCIEROS</t>
        </is>
      </c>
      <c r="E103" t="inlineStr">
        <is>
          <t>Promerica USD (40000003881774)</t>
        </is>
      </c>
      <c r="F103" t="inlineStr">
        <is>
          <t>Banco Promerica</t>
        </is>
      </c>
      <c r="H103" s="50" t="n">
        <v>0</v>
      </c>
      <c r="I103" s="51" t="n">
        <v>-0.75</v>
      </c>
      <c r="J103" s="50" t="n">
        <v>508</v>
      </c>
      <c r="L103" t="inlineStr">
        <is>
          <t>Completado</t>
        </is>
      </c>
      <c r="P103" t="inlineStr">
        <is>
          <t>Importado v2.0</t>
        </is>
      </c>
      <c r="Q103" s="49" t="n">
        <v>45973.79666556713</v>
      </c>
    </row>
    <row r="104">
      <c r="A104" s="49" t="n">
        <v>45971</v>
      </c>
      <c r="B104" t="inlineStr">
        <is>
          <t>GASTOS OPERATIVOS</t>
        </is>
      </c>
      <c r="E104" t="inlineStr">
        <is>
          <t>Tarjeta BNCR Visa 3519</t>
        </is>
      </c>
      <c r="F104" t="inlineStr">
        <is>
          <t>Uber</t>
        </is>
      </c>
      <c r="H104" s="50" t="n">
        <v>0</v>
      </c>
      <c r="I104" s="51" t="n">
        <v>2.76</v>
      </c>
      <c r="J104" s="50" t="n">
        <v>508</v>
      </c>
      <c r="L104" t="inlineStr">
        <is>
          <t>Completado</t>
        </is>
      </c>
      <c r="P104" t="inlineStr">
        <is>
          <t>Importado v2.0</t>
        </is>
      </c>
      <c r="Q104" s="49" t="n">
        <v>45973.79666556713</v>
      </c>
    </row>
    <row r="105">
      <c r="A105" s="49" t="n">
        <v>45971</v>
      </c>
      <c r="B105" t="inlineStr">
        <is>
          <t>GASTOS OPERATIVOS</t>
        </is>
      </c>
      <c r="E105" t="inlineStr">
        <is>
          <t>Tarjeta BNCR Visa 3519</t>
        </is>
      </c>
      <c r="F105" t="inlineStr">
        <is>
          <t>POPS San Antonio</t>
        </is>
      </c>
      <c r="H105" s="50" t="n">
        <v>6000</v>
      </c>
      <c r="I105" s="51" t="n">
        <v>10.47120418848167</v>
      </c>
      <c r="J105" s="50" t="n">
        <v>508</v>
      </c>
      <c r="L105" t="inlineStr">
        <is>
          <t>Completado</t>
        </is>
      </c>
      <c r="P105" t="inlineStr">
        <is>
          <t>Importado v2.0</t>
        </is>
      </c>
      <c r="Q105" s="49" t="n">
        <v>45973.79666556713</v>
      </c>
    </row>
    <row r="106">
      <c r="A106" s="49" t="n">
        <v>45971</v>
      </c>
      <c r="B106" t="inlineStr">
        <is>
          <t>GASTOS OPERATIVOS</t>
        </is>
      </c>
      <c r="E106" t="inlineStr">
        <is>
          <t>Tarjeta BNCR Visa 3519</t>
        </is>
      </c>
      <c r="F106" t="inlineStr">
        <is>
          <t>AM PM San Francisco</t>
        </is>
      </c>
      <c r="H106" s="50" t="n">
        <v>5510</v>
      </c>
      <c r="I106" s="51" t="n">
        <v>9.616055846422338</v>
      </c>
      <c r="J106" s="50" t="n">
        <v>508</v>
      </c>
      <c r="L106" t="inlineStr">
        <is>
          <t>Completado</t>
        </is>
      </c>
      <c r="P106" t="inlineStr">
        <is>
          <t>Importado v2.0</t>
        </is>
      </c>
      <c r="Q106" s="49" t="n">
        <v>45973.79666556713</v>
      </c>
    </row>
    <row r="107">
      <c r="A107" s="49" t="n">
        <v>45971</v>
      </c>
      <c r="B107" t="inlineStr">
        <is>
          <t>COMPRAS PARA REVENTA</t>
        </is>
      </c>
      <c r="E107" t="inlineStr">
        <is>
          <t>Tarjeta BNCR MC 8759</t>
        </is>
      </c>
      <c r="F107" t="inlineStr">
        <is>
          <t>Apple Inc</t>
        </is>
      </c>
      <c r="H107" s="50" t="n">
        <v>0</v>
      </c>
      <c r="I107" s="51" t="n">
        <v>16.95</v>
      </c>
      <c r="J107" s="50" t="n">
        <v>508</v>
      </c>
      <c r="L107" t="inlineStr">
        <is>
          <t>Completado</t>
        </is>
      </c>
      <c r="P107" t="inlineStr">
        <is>
          <t>Importado v2.0</t>
        </is>
      </c>
      <c r="Q107" s="49" t="n">
        <v>45973.79666556713</v>
      </c>
    </row>
    <row r="108">
      <c r="A108" s="49" t="n">
        <v>45971</v>
      </c>
      <c r="B108" t="inlineStr">
        <is>
          <t>GASTOS OPERATIVOS</t>
        </is>
      </c>
      <c r="E108" t="inlineStr">
        <is>
          <t>Tarjeta BNCR Visa 9837</t>
        </is>
      </c>
      <c r="F108" t="inlineStr">
        <is>
          <t>Auto Mercado</t>
        </is>
      </c>
      <c r="H108" s="50" t="n">
        <v>3195</v>
      </c>
      <c r="I108" s="51" t="n">
        <v>5.575916230366492</v>
      </c>
      <c r="J108" s="50" t="n">
        <v>508</v>
      </c>
      <c r="L108" t="inlineStr">
        <is>
          <t>Completado</t>
        </is>
      </c>
      <c r="P108" t="inlineStr">
        <is>
          <t>Importado v2.0</t>
        </is>
      </c>
      <c r="Q108" s="49" t="n">
        <v>45973.79666556713</v>
      </c>
    </row>
    <row r="109">
      <c r="A109" s="49" t="n">
        <v>45971</v>
      </c>
      <c r="B109" t="inlineStr">
        <is>
          <t>GASTOS OPERATIVOS</t>
        </is>
      </c>
      <c r="E109" t="inlineStr">
        <is>
          <t>Tarjeta BNCR Visa 9837</t>
        </is>
      </c>
      <c r="F109" t="inlineStr">
        <is>
          <t>Auto Mercado</t>
        </is>
      </c>
      <c r="H109" s="50" t="n">
        <v>53785</v>
      </c>
      <c r="I109" s="51" t="n">
        <v>93.86561954624781</v>
      </c>
      <c r="J109" s="50" t="n">
        <v>508</v>
      </c>
      <c r="L109" t="inlineStr">
        <is>
          <t>Completado</t>
        </is>
      </c>
      <c r="P109" t="inlineStr">
        <is>
          <t>Importado v2.0</t>
        </is>
      </c>
      <c r="Q109" s="49" t="n">
        <v>45973.79666556713</v>
      </c>
    </row>
    <row r="110">
      <c r="A110" s="49" t="n">
        <v>45971</v>
      </c>
      <c r="B110" t="inlineStr">
        <is>
          <t>GASTOS FINANCIEROS</t>
        </is>
      </c>
      <c r="E110" t="inlineStr">
        <is>
          <t>BNCR CRC</t>
        </is>
      </c>
      <c r="F110" t="inlineStr">
        <is>
          <t>Tarjeta Siman</t>
        </is>
      </c>
      <c r="H110" s="50" t="n">
        <v>337981.89</v>
      </c>
      <c r="I110" s="51" t="n">
        <v>589.8462303664921</v>
      </c>
      <c r="J110" s="50" t="n">
        <v>508</v>
      </c>
      <c r="L110" t="inlineStr">
        <is>
          <t>Completado</t>
        </is>
      </c>
      <c r="P110" t="inlineStr">
        <is>
          <t>Importado v2.0</t>
        </is>
      </c>
      <c r="Q110" s="49" t="n">
        <v>45973.79666556713</v>
      </c>
    </row>
    <row r="111">
      <c r="A111" s="49" t="n">
        <v>45971</v>
      </c>
      <c r="B111" t="inlineStr">
        <is>
          <t>GASTOS OPERATIVOS</t>
        </is>
      </c>
      <c r="E111" t="inlineStr">
        <is>
          <t>Tarjeta BNCR Visa 3519</t>
        </is>
      </c>
      <c r="F111" t="inlineStr">
        <is>
          <t>Uber Eats</t>
        </is>
      </c>
      <c r="H111" s="50" t="n">
        <v>0</v>
      </c>
      <c r="I111" s="51" t="n">
        <v>18.73</v>
      </c>
      <c r="J111" s="50" t="n">
        <v>508</v>
      </c>
      <c r="L111" t="inlineStr">
        <is>
          <t>Completado</t>
        </is>
      </c>
      <c r="P111" t="inlineStr">
        <is>
          <t>Importado v2.0</t>
        </is>
      </c>
      <c r="Q111" s="49" t="n">
        <v>45973.79666556713</v>
      </c>
    </row>
    <row r="112">
      <c r="A112" s="49" t="n">
        <v>45971.48507260417</v>
      </c>
      <c r="B112" t="inlineStr">
        <is>
          <t>TRANSFERENCIAS</t>
        </is>
      </c>
      <c r="E112" t="inlineStr">
        <is>
          <t>BNCR USD 601066</t>
        </is>
      </c>
      <c r="F112" t="inlineStr">
        <is>
          <t>Plan Impuestos Municipales</t>
        </is>
      </c>
      <c r="H112" s="50" t="n">
        <v>0</v>
      </c>
      <c r="I112" s="51" t="n">
        <v>75</v>
      </c>
      <c r="J112" s="50" t="n">
        <v>508</v>
      </c>
      <c r="L112" t="inlineStr">
        <is>
          <t>Completado</t>
        </is>
      </c>
      <c r="P112" t="inlineStr">
        <is>
          <t>Importado v2.0</t>
        </is>
      </c>
      <c r="Q112" s="49" t="n">
        <v>45973.79666556713</v>
      </c>
    </row>
    <row r="113">
      <c r="A113" s="49" t="n">
        <v>45971.48507260417</v>
      </c>
      <c r="B113" t="inlineStr">
        <is>
          <t>TRANSFERENCIAS</t>
        </is>
      </c>
      <c r="E113" t="inlineStr">
        <is>
          <t>BNCR USD 601066</t>
        </is>
      </c>
      <c r="F113" t="inlineStr">
        <is>
          <t>Plan Matrimonio</t>
        </is>
      </c>
      <c r="H113" s="50" t="n">
        <v>0</v>
      </c>
      <c r="I113" s="51" t="n">
        <v>50</v>
      </c>
      <c r="J113" s="50" t="n">
        <v>508</v>
      </c>
      <c r="L113" t="inlineStr">
        <is>
          <t>Completado</t>
        </is>
      </c>
      <c r="P113" t="inlineStr">
        <is>
          <t>Importado v2.0</t>
        </is>
      </c>
      <c r="Q113" s="49" t="n">
        <v>45973.79666556713</v>
      </c>
    </row>
    <row r="114">
      <c r="A114" s="49" t="n">
        <v>45971.48507261574</v>
      </c>
      <c r="B114" t="inlineStr">
        <is>
          <t>TRANSFERENCIAS</t>
        </is>
      </c>
      <c r="E114" t="inlineStr">
        <is>
          <t>BNCR USD 601066</t>
        </is>
      </c>
      <c r="F114" t="inlineStr">
        <is>
          <t>Plan Black Friday</t>
        </is>
      </c>
      <c r="H114" s="50" t="n">
        <v>0</v>
      </c>
      <c r="I114" s="51" t="n">
        <v>25</v>
      </c>
      <c r="J114" s="50" t="n">
        <v>508</v>
      </c>
      <c r="L114" t="inlineStr">
        <is>
          <t>Completado</t>
        </is>
      </c>
      <c r="P114" t="inlineStr">
        <is>
          <t>Importado v2.0</t>
        </is>
      </c>
      <c r="Q114" s="49" t="n">
        <v>45973.79666556713</v>
      </c>
    </row>
    <row r="115">
      <c r="A115" s="49" t="n">
        <v>45971.48507261574</v>
      </c>
      <c r="B115" t="inlineStr">
        <is>
          <t>TRANSFERENCIAS</t>
        </is>
      </c>
      <c r="E115" t="inlineStr">
        <is>
          <t>BNCR USD 601066</t>
        </is>
      </c>
      <c r="F115" t="inlineStr">
        <is>
          <t>Plan Nuevo</t>
        </is>
      </c>
      <c r="H115" s="50" t="n">
        <v>0</v>
      </c>
      <c r="I115" s="51" t="n">
        <v>60</v>
      </c>
      <c r="J115" s="50" t="n">
        <v>508</v>
      </c>
      <c r="L115" t="inlineStr">
        <is>
          <t>Completado</t>
        </is>
      </c>
      <c r="P115" t="inlineStr">
        <is>
          <t>Importado v2.0</t>
        </is>
      </c>
      <c r="Q115" s="49" t="n">
        <v>45973.79666556713</v>
      </c>
    </row>
    <row r="116">
      <c r="A116" s="49" t="n">
        <v>45971.48507261574</v>
      </c>
      <c r="B116" t="inlineStr">
        <is>
          <t>TRANSFERENCIAS</t>
        </is>
      </c>
      <c r="E116" t="inlineStr">
        <is>
          <t>BNCR USD 601066</t>
        </is>
      </c>
      <c r="F116" t="inlineStr">
        <is>
          <t>BNCR</t>
        </is>
      </c>
      <c r="H116" s="50" t="n">
        <v>30000</v>
      </c>
      <c r="I116" s="51" t="n">
        <v>60.48</v>
      </c>
      <c r="J116" s="50" t="n">
        <v>508</v>
      </c>
      <c r="L116" t="inlineStr">
        <is>
          <t>Completado</t>
        </is>
      </c>
      <c r="P116" t="inlineStr">
        <is>
          <t>Importado v2.0</t>
        </is>
      </c>
      <c r="Q116" s="49" t="n">
        <v>45973.79666556713</v>
      </c>
    </row>
    <row r="117">
      <c r="A117" s="49" t="n">
        <v>45971.48507261574</v>
      </c>
      <c r="B117" t="inlineStr">
        <is>
          <t>GASTOS OPERATIVOS</t>
        </is>
      </c>
      <c r="E117" t="inlineStr">
        <is>
          <t>BNCR USD 601066</t>
        </is>
      </c>
      <c r="F117" t="inlineStr">
        <is>
          <t>Alejandra Arias Fallas</t>
        </is>
      </c>
      <c r="H117" s="50" t="n">
        <v>0</v>
      </c>
      <c r="I117" s="51" t="n">
        <v>25</v>
      </c>
      <c r="J117" s="50" t="n">
        <v>508</v>
      </c>
      <c r="L117" t="inlineStr">
        <is>
          <t>Completado</t>
        </is>
      </c>
      <c r="P117" t="inlineStr">
        <is>
          <t>Importado v2.0</t>
        </is>
      </c>
      <c r="Q117" s="49" t="n">
        <v>45973.79666556713</v>
      </c>
    </row>
    <row r="118">
      <c r="A118" s="49" t="n">
        <v>45971.48507261574</v>
      </c>
      <c r="B118" t="inlineStr">
        <is>
          <t>GASTOS FINANCIEROS</t>
        </is>
      </c>
      <c r="E118" t="inlineStr">
        <is>
          <t>BNCR USD 601066</t>
        </is>
      </c>
      <c r="F118" t="inlineStr">
        <is>
          <t>Banco Nacional</t>
        </is>
      </c>
      <c r="H118" s="50" t="n">
        <v>0</v>
      </c>
      <c r="I118" s="51" t="n">
        <v>3.02</v>
      </c>
      <c r="J118" s="50" t="n">
        <v>508</v>
      </c>
      <c r="L118" t="inlineStr">
        <is>
          <t>Completado</t>
        </is>
      </c>
      <c r="P118" t="inlineStr">
        <is>
          <t>Importado v2.0</t>
        </is>
      </c>
      <c r="Q118" s="49" t="n">
        <v>45973.79666556713</v>
      </c>
    </row>
    <row r="119">
      <c r="A119" s="49" t="n">
        <v>45971.48507261574</v>
      </c>
      <c r="B119" t="inlineStr">
        <is>
          <t>GASTOS FINANCIEROS</t>
        </is>
      </c>
      <c r="E119" t="inlineStr">
        <is>
          <t>BNCR USD 601066</t>
        </is>
      </c>
      <c r="F119" t="inlineStr">
        <is>
          <t>TC BNCR MC 8759</t>
        </is>
      </c>
      <c r="H119" s="50" t="n">
        <v>300000</v>
      </c>
      <c r="I119" s="51" t="n">
        <v>607.29</v>
      </c>
      <c r="J119" s="50" t="n">
        <v>508</v>
      </c>
      <c r="L119" t="inlineStr">
        <is>
          <t>Completado</t>
        </is>
      </c>
      <c r="P119" t="inlineStr">
        <is>
          <t>Importado v2.0</t>
        </is>
      </c>
      <c r="Q119" s="49" t="n">
        <v>45973.79666556713</v>
      </c>
    </row>
    <row r="120">
      <c r="A120" s="49" t="n">
        <v>45971.48507261574</v>
      </c>
      <c r="B120" t="inlineStr">
        <is>
          <t>GASTOS FINANCIEROS</t>
        </is>
      </c>
      <c r="E120" t="inlineStr">
        <is>
          <t>BNCR USD 601066</t>
        </is>
      </c>
      <c r="F120" t="inlineStr">
        <is>
          <t>TC BNCR Visa 6386</t>
        </is>
      </c>
      <c r="H120" s="50" t="n">
        <v>0</v>
      </c>
      <c r="I120" s="51" t="n">
        <v>321.86</v>
      </c>
      <c r="J120" s="50" t="n">
        <v>508</v>
      </c>
      <c r="L120" t="inlineStr">
        <is>
          <t>Completado</t>
        </is>
      </c>
      <c r="P120" t="inlineStr">
        <is>
          <t>Importado v2.0</t>
        </is>
      </c>
      <c r="Q120" s="49" t="n">
        <v>45973.79666556713</v>
      </c>
    </row>
    <row r="121">
      <c r="A121" s="49" t="n">
        <v>45971.48507261574</v>
      </c>
      <c r="B121" t="inlineStr">
        <is>
          <t>TRANSFERENCIAS</t>
        </is>
      </c>
      <c r="E121" t="inlineStr">
        <is>
          <t>BNCR USD 601066</t>
        </is>
      </c>
      <c r="F121" t="inlineStr">
        <is>
          <t>Plan Impuestos Municipales</t>
        </is>
      </c>
      <c r="H121" s="50" t="n">
        <v>0</v>
      </c>
      <c r="I121" s="51" t="n">
        <v>75</v>
      </c>
      <c r="J121" s="50" t="n">
        <v>508</v>
      </c>
      <c r="L121" t="inlineStr">
        <is>
          <t>Completado</t>
        </is>
      </c>
      <c r="P121" t="inlineStr">
        <is>
          <t>Importado v2.0</t>
        </is>
      </c>
      <c r="Q121" s="49" t="n">
        <v>45973.7966655787</v>
      </c>
    </row>
    <row r="122">
      <c r="A122" s="49" t="n">
        <v>45971.48507261574</v>
      </c>
      <c r="B122" t="inlineStr">
        <is>
          <t>TRANSFERENCIAS</t>
        </is>
      </c>
      <c r="E122" t="inlineStr">
        <is>
          <t>BNCR USD 601066</t>
        </is>
      </c>
      <c r="F122" t="inlineStr">
        <is>
          <t>Plan Matrimonio</t>
        </is>
      </c>
      <c r="H122" s="50" t="n">
        <v>0</v>
      </c>
      <c r="I122" s="51" t="n">
        <v>50</v>
      </c>
      <c r="J122" s="50" t="n">
        <v>508</v>
      </c>
      <c r="L122" t="inlineStr">
        <is>
          <t>Completado</t>
        </is>
      </c>
      <c r="P122" t="inlineStr">
        <is>
          <t>Importado v2.0</t>
        </is>
      </c>
      <c r="Q122" s="49" t="n">
        <v>45973.7966655787</v>
      </c>
    </row>
    <row r="123">
      <c r="A123" s="49" t="n">
        <v>45971.48507261574</v>
      </c>
      <c r="B123" t="inlineStr">
        <is>
          <t>TRANSFERENCIAS</t>
        </is>
      </c>
      <c r="E123" t="inlineStr">
        <is>
          <t>BNCR USD 601066</t>
        </is>
      </c>
      <c r="F123" t="inlineStr">
        <is>
          <t>Plan Black Friday</t>
        </is>
      </c>
      <c r="H123" s="50" t="n">
        <v>0</v>
      </c>
      <c r="I123" s="51" t="n">
        <v>25</v>
      </c>
      <c r="J123" s="50" t="n">
        <v>508</v>
      </c>
      <c r="L123" t="inlineStr">
        <is>
          <t>Completado</t>
        </is>
      </c>
      <c r="P123" t="inlineStr">
        <is>
          <t>Importado v2.0</t>
        </is>
      </c>
      <c r="Q123" s="49" t="n">
        <v>45973.7966655787</v>
      </c>
    </row>
    <row r="124">
      <c r="A124" s="49" t="n">
        <v>45971.48507261574</v>
      </c>
      <c r="B124" t="inlineStr">
        <is>
          <t>TRANSFERENCIAS</t>
        </is>
      </c>
      <c r="E124" t="inlineStr">
        <is>
          <t>BNCR USD 601066</t>
        </is>
      </c>
      <c r="F124" t="inlineStr">
        <is>
          <t>Plan Nuevo</t>
        </is>
      </c>
      <c r="H124" s="50" t="n">
        <v>0</v>
      </c>
      <c r="I124" s="51" t="n">
        <v>60</v>
      </c>
      <c r="J124" s="50" t="n">
        <v>508</v>
      </c>
      <c r="L124" t="inlineStr">
        <is>
          <t>Completado</t>
        </is>
      </c>
      <c r="P124" t="inlineStr">
        <is>
          <t>Importado v2.0</t>
        </is>
      </c>
      <c r="Q124" s="49" t="n">
        <v>45973.79666559028</v>
      </c>
    </row>
    <row r="125">
      <c r="A125" s="49" t="n">
        <v>45971.48507261574</v>
      </c>
      <c r="B125" t="inlineStr">
        <is>
          <t>GASTOS OPERATIVOS</t>
        </is>
      </c>
      <c r="E125" t="inlineStr">
        <is>
          <t>BNCR USD 11121</t>
        </is>
      </c>
      <c r="F125" t="inlineStr">
        <is>
          <t>Comunidad PAS</t>
        </is>
      </c>
      <c r="H125" s="50" t="n">
        <v>0</v>
      </c>
      <c r="I125" s="51" t="n">
        <v>50</v>
      </c>
      <c r="J125" s="50" t="n">
        <v>508</v>
      </c>
      <c r="L125" t="inlineStr">
        <is>
          <t>Completado</t>
        </is>
      </c>
      <c r="P125" t="inlineStr">
        <is>
          <t>Importado v2.0</t>
        </is>
      </c>
      <c r="Q125" s="49" t="n">
        <v>45973.79666559028</v>
      </c>
    </row>
    <row r="126">
      <c r="A126" s="49" t="n">
        <v>45971.48507261574</v>
      </c>
      <c r="B126" t="inlineStr">
        <is>
          <t>GASTOS OPERATIVOS</t>
        </is>
      </c>
      <c r="E126" t="inlineStr">
        <is>
          <t>BNCR USD 11121</t>
        </is>
      </c>
      <c r="F126" t="inlineStr">
        <is>
          <t>José Alejandro Alfaro</t>
        </is>
      </c>
      <c r="H126" s="50" t="n">
        <v>0</v>
      </c>
      <c r="I126" s="51" t="n">
        <v>101.42</v>
      </c>
      <c r="J126" s="50" t="n">
        <v>508</v>
      </c>
      <c r="L126" t="inlineStr">
        <is>
          <t>Completado</t>
        </is>
      </c>
      <c r="P126" t="inlineStr">
        <is>
          <t>Importado v2.0</t>
        </is>
      </c>
      <c r="Q126" s="49" t="n">
        <v>45973.79666559028</v>
      </c>
    </row>
    <row r="127">
      <c r="A127" s="49" t="n">
        <v>45971.48507261574</v>
      </c>
      <c r="B127" t="inlineStr">
        <is>
          <t>TRANSFERENCIAS</t>
        </is>
      </c>
      <c r="E127" t="inlineStr">
        <is>
          <t>BNCR USD 11121</t>
        </is>
      </c>
      <c r="F127" t="inlineStr">
        <is>
          <t>BNCR</t>
        </is>
      </c>
      <c r="H127" s="50" t="n">
        <v>0</v>
      </c>
      <c r="I127" s="51" t="n">
        <v>100</v>
      </c>
      <c r="J127" s="50" t="n">
        <v>508</v>
      </c>
      <c r="L127" t="inlineStr">
        <is>
          <t>Completado</t>
        </is>
      </c>
      <c r="P127" t="inlineStr">
        <is>
          <t>Importado v2.0</t>
        </is>
      </c>
      <c r="Q127" s="49" t="n">
        <v>45973.79666559028</v>
      </c>
    </row>
    <row r="128">
      <c r="A128" s="49" t="n">
        <v>45971.48507261574</v>
      </c>
      <c r="B128" t="inlineStr">
        <is>
          <t>INGRESOS</t>
        </is>
      </c>
      <c r="E128" t="inlineStr">
        <is>
          <t>BNCR USD 11121</t>
        </is>
      </c>
      <c r="F128" t="inlineStr">
        <is>
          <t>Auto Mercado</t>
        </is>
      </c>
      <c r="H128" s="50" t="n">
        <v>0</v>
      </c>
      <c r="I128" s="51" t="n">
        <v>109.66</v>
      </c>
      <c r="J128" s="50" t="n">
        <v>508</v>
      </c>
      <c r="L128" t="inlineStr">
        <is>
          <t>Completado</t>
        </is>
      </c>
      <c r="P128" t="inlineStr">
        <is>
          <t>Importado v2.0</t>
        </is>
      </c>
      <c r="Q128" s="49" t="n">
        <v>45973.79666559028</v>
      </c>
    </row>
    <row r="129">
      <c r="A129" s="49" t="n">
        <v>45971.48507261574</v>
      </c>
      <c r="B129" t="inlineStr">
        <is>
          <t>GASTOS FINANCIEROS</t>
        </is>
      </c>
      <c r="E129" t="inlineStr">
        <is>
          <t>BNCR USD 11121</t>
        </is>
      </c>
      <c r="F129" t="inlineStr">
        <is>
          <t>TC BNCR Visa 3519</t>
        </is>
      </c>
      <c r="H129" s="50" t="n">
        <v>100000</v>
      </c>
      <c r="I129" s="51" t="n">
        <v>202.84</v>
      </c>
      <c r="J129" s="50" t="n">
        <v>508</v>
      </c>
      <c r="L129" t="inlineStr">
        <is>
          <t>Completado</t>
        </is>
      </c>
      <c r="P129" t="inlineStr">
        <is>
          <t>Importado v2.0</t>
        </is>
      </c>
      <c r="Q129" s="49" t="n">
        <v>45973.79666559028</v>
      </c>
    </row>
    <row r="130">
      <c r="A130" s="49" t="n">
        <v>45971.48507262731</v>
      </c>
      <c r="B130" t="inlineStr">
        <is>
          <t>GASTOS FINANCIEROS</t>
        </is>
      </c>
      <c r="E130" t="inlineStr">
        <is>
          <t>BNCR USD 11121</t>
        </is>
      </c>
      <c r="F130" t="inlineStr">
        <is>
          <t>TC BNCR Visa 3519</t>
        </is>
      </c>
      <c r="H130" s="50" t="n">
        <v>0</v>
      </c>
      <c r="I130" s="51" t="n">
        <v>139.72</v>
      </c>
      <c r="J130" s="50" t="n">
        <v>508</v>
      </c>
      <c r="L130" t="inlineStr">
        <is>
          <t>Completado</t>
        </is>
      </c>
      <c r="P130" t="inlineStr">
        <is>
          <t>Importado v2.0</t>
        </is>
      </c>
      <c r="Q130" s="49" t="n">
        <v>45973.79666559028</v>
      </c>
    </row>
    <row r="131">
      <c r="A131" s="49" t="n">
        <v>45971.48507262731</v>
      </c>
      <c r="B131" t="inlineStr">
        <is>
          <t>INGRESOS</t>
        </is>
      </c>
      <c r="E131" t="inlineStr">
        <is>
          <t>BNCR USD 11121</t>
        </is>
      </c>
      <c r="F131" t="inlineStr">
        <is>
          <t>Empleador</t>
        </is>
      </c>
      <c r="H131" s="50" t="n">
        <v>0</v>
      </c>
      <c r="I131" s="51" t="n">
        <v>500</v>
      </c>
      <c r="J131" s="50" t="n">
        <v>508</v>
      </c>
      <c r="L131" t="inlineStr">
        <is>
          <t>Completado</t>
        </is>
      </c>
      <c r="P131" t="inlineStr">
        <is>
          <t>Importado v2.0</t>
        </is>
      </c>
      <c r="Q131" s="49" t="n">
        <v>45973.79666559028</v>
      </c>
    </row>
    <row r="132">
      <c r="A132" s="49" t="n">
        <v>45971.48507262731</v>
      </c>
      <c r="B132" t="inlineStr">
        <is>
          <t>GASTOS OPERATIVOS</t>
        </is>
      </c>
      <c r="E132" t="inlineStr">
        <is>
          <t>BNCR CRC 188618</t>
        </is>
      </c>
      <c r="F132" t="inlineStr">
        <is>
          <t>José Alejandro Alfaro</t>
        </is>
      </c>
      <c r="H132" s="50" t="n">
        <v>12126</v>
      </c>
      <c r="I132" s="51" t="n">
        <v>23.94</v>
      </c>
      <c r="J132" s="50" t="n">
        <v>508</v>
      </c>
      <c r="L132" t="inlineStr">
        <is>
          <t>Completado</t>
        </is>
      </c>
      <c r="P132" t="inlineStr">
        <is>
          <t>Importado v2.0</t>
        </is>
      </c>
      <c r="Q132" s="49" t="n">
        <v>45973.79666559028</v>
      </c>
    </row>
    <row r="133">
      <c r="A133" s="49" t="n">
        <v>45971.48507262731</v>
      </c>
      <c r="B133" t="inlineStr">
        <is>
          <t>GASTOS OPERATIVOS</t>
        </is>
      </c>
      <c r="E133" t="inlineStr">
        <is>
          <t>BNCR CRC 188618</t>
        </is>
      </c>
      <c r="F133" t="inlineStr">
        <is>
          <t>Alejandra Arias Fallas</t>
        </is>
      </c>
      <c r="H133" s="50" t="n">
        <v>3000</v>
      </c>
      <c r="I133" s="51" t="n">
        <v>5.92</v>
      </c>
      <c r="J133" s="50" t="n">
        <v>508</v>
      </c>
      <c r="L133" t="inlineStr">
        <is>
          <t>Completado</t>
        </is>
      </c>
      <c r="P133" t="inlineStr">
        <is>
          <t>Importado v2.0</t>
        </is>
      </c>
      <c r="Q133" s="49" t="n">
        <v>45973.79666559028</v>
      </c>
    </row>
    <row r="134">
      <c r="A134" s="49" t="n">
        <v>45971.48507262731</v>
      </c>
      <c r="B134" t="inlineStr">
        <is>
          <t>INGRESOS</t>
        </is>
      </c>
      <c r="E134" t="inlineStr">
        <is>
          <t>BNCR CRC 188618</t>
        </is>
      </c>
      <c r="F134" t="inlineStr">
        <is>
          <t>BNCR</t>
        </is>
      </c>
      <c r="H134" s="50" t="n">
        <v>30000</v>
      </c>
      <c r="I134" s="51" t="n">
        <v>60.48</v>
      </c>
      <c r="J134" s="50" t="n">
        <v>508</v>
      </c>
      <c r="L134" t="inlineStr">
        <is>
          <t>Completado</t>
        </is>
      </c>
      <c r="P134" t="inlineStr">
        <is>
          <t>Importado v2.0</t>
        </is>
      </c>
      <c r="Q134" s="49" t="n">
        <v>45973.79666559028</v>
      </c>
    </row>
    <row r="135">
      <c r="A135" s="49" t="n">
        <v>45971.48507262731</v>
      </c>
      <c r="B135" t="inlineStr">
        <is>
          <t>INGRESOS</t>
        </is>
      </c>
      <c r="E135" t="inlineStr">
        <is>
          <t>BNCR CRC 188618</t>
        </is>
      </c>
      <c r="F135" t="inlineStr">
        <is>
          <t>Thomas Davidovich</t>
        </is>
      </c>
      <c r="H135" s="50" t="n">
        <v>20000</v>
      </c>
      <c r="I135" s="51" t="n">
        <v>39.49</v>
      </c>
      <c r="J135" s="50" t="n">
        <v>508</v>
      </c>
      <c r="L135" t="inlineStr">
        <is>
          <t>Completado</t>
        </is>
      </c>
      <c r="P135" t="inlineStr">
        <is>
          <t>Importado v2.0</t>
        </is>
      </c>
      <c r="Q135" s="49" t="n">
        <v>45973.79666559028</v>
      </c>
    </row>
    <row r="136">
      <c r="A136" s="49" t="n">
        <v>45971.48507262731</v>
      </c>
      <c r="B136" t="inlineStr">
        <is>
          <t>GASTOS OPERATIVOS</t>
        </is>
      </c>
      <c r="E136" t="inlineStr">
        <is>
          <t>BNCR CRC 188618</t>
        </is>
      </c>
      <c r="F136" t="inlineStr">
        <is>
          <t>Andrés Velasco Arana</t>
        </is>
      </c>
      <c r="H136" s="50" t="n">
        <v>25000</v>
      </c>
      <c r="I136" s="51" t="n">
        <v>49.36</v>
      </c>
      <c r="J136" s="50" t="n">
        <v>508</v>
      </c>
      <c r="L136" t="inlineStr">
        <is>
          <t>Completado</t>
        </is>
      </c>
      <c r="P136" t="inlineStr">
        <is>
          <t>Importado v2.0</t>
        </is>
      </c>
      <c r="Q136" s="49" t="n">
        <v>45973.79666559028</v>
      </c>
    </row>
    <row r="137">
      <c r="A137" s="49" t="n">
        <v>45971.48507262731</v>
      </c>
      <c r="B137" t="inlineStr">
        <is>
          <t>GASTOS OPERATIVOS</t>
        </is>
      </c>
      <c r="E137" t="inlineStr">
        <is>
          <t>BNCR CRC 188618</t>
        </is>
      </c>
      <c r="F137" t="inlineStr">
        <is>
          <t>Casa</t>
        </is>
      </c>
      <c r="H137" s="50" t="n">
        <v>10000</v>
      </c>
      <c r="I137" s="51" t="n">
        <v>19.74</v>
      </c>
      <c r="J137" s="50" t="n">
        <v>508</v>
      </c>
      <c r="L137" t="inlineStr">
        <is>
          <t>Completado</t>
        </is>
      </c>
      <c r="P137" t="inlineStr">
        <is>
          <t>Importado v2.0</t>
        </is>
      </c>
      <c r="Q137" s="49" t="n">
        <v>45973.79666559028</v>
      </c>
    </row>
    <row r="138">
      <c r="A138" s="49" t="n">
        <v>45971.48507262731</v>
      </c>
      <c r="B138" t="inlineStr">
        <is>
          <t>GASTOS OPERATIVOS</t>
        </is>
      </c>
      <c r="E138" t="inlineStr">
        <is>
          <t>BNCR CRC 188618</t>
        </is>
      </c>
      <c r="F138" t="inlineStr">
        <is>
          <t>Álvaro Velasco</t>
        </is>
      </c>
      <c r="H138" s="50" t="n">
        <v>70000</v>
      </c>
      <c r="I138" s="51" t="n">
        <v>138.2</v>
      </c>
      <c r="J138" s="50" t="n">
        <v>508</v>
      </c>
      <c r="L138" t="inlineStr">
        <is>
          <t>Completado</t>
        </is>
      </c>
      <c r="P138" t="inlineStr">
        <is>
          <t>Importado v2.0</t>
        </is>
      </c>
      <c r="Q138" s="49" t="n">
        <v>45973.79666559028</v>
      </c>
    </row>
    <row r="139">
      <c r="A139" s="49" t="n">
        <v>45971.48507262731</v>
      </c>
      <c r="B139" t="inlineStr">
        <is>
          <t>GASTOS FINANCIEROS</t>
        </is>
      </c>
      <c r="E139" t="inlineStr">
        <is>
          <t>BNCR CRC 188618</t>
        </is>
      </c>
      <c r="F139" t="inlineStr">
        <is>
          <t>TC BNCR Visa 9837</t>
        </is>
      </c>
      <c r="H139" s="50" t="n">
        <v>31434</v>
      </c>
      <c r="I139" s="51" t="n">
        <v>62</v>
      </c>
      <c r="J139" s="50" t="n">
        <v>508</v>
      </c>
      <c r="L139" t="inlineStr">
        <is>
          <t>Completado</t>
        </is>
      </c>
      <c r="P139" t="inlineStr">
        <is>
          <t>Importado v2.0</t>
        </is>
      </c>
      <c r="Q139" s="49" t="n">
        <v>45973.79666559028</v>
      </c>
    </row>
    <row r="140">
      <c r="A140" s="49" t="n">
        <v>45971.48507262731</v>
      </c>
      <c r="B140" t="inlineStr">
        <is>
          <t>GASTOS FINANCIEROS</t>
        </is>
      </c>
      <c r="E140" t="inlineStr">
        <is>
          <t>BNCR CRC 188618</t>
        </is>
      </c>
      <c r="F140" t="inlineStr">
        <is>
          <t>TC BNCR Visa 9837</t>
        </is>
      </c>
      <c r="H140" s="50" t="n">
        <v>271600</v>
      </c>
      <c r="I140" s="51" t="n">
        <v>536.23</v>
      </c>
      <c r="J140" s="50" t="n">
        <v>508</v>
      </c>
      <c r="L140" t="inlineStr">
        <is>
          <t>Completado</t>
        </is>
      </c>
      <c r="P140" t="inlineStr">
        <is>
          <t>Importado v2.0</t>
        </is>
      </c>
      <c r="Q140" s="49" t="n">
        <v>45973.79666559028</v>
      </c>
    </row>
    <row r="141">
      <c r="A141" s="49" t="n">
        <v>45971.48507262731</v>
      </c>
      <c r="B141" t="inlineStr">
        <is>
          <t>GASTOS FINANCIEROS</t>
        </is>
      </c>
      <c r="E141" t="inlineStr">
        <is>
          <t>BNCR CRC 188618</t>
        </is>
      </c>
      <c r="F141" t="inlineStr">
        <is>
          <t>TC BNCR MC 8759</t>
        </is>
      </c>
      <c r="H141" s="50" t="n">
        <v>5070</v>
      </c>
      <c r="I141" s="51" t="n">
        <v>10.01</v>
      </c>
      <c r="J141" s="50" t="n">
        <v>508</v>
      </c>
      <c r="L141" t="inlineStr">
        <is>
          <t>Completado</t>
        </is>
      </c>
      <c r="P141" t="inlineStr">
        <is>
          <t>Importado v2.0</t>
        </is>
      </c>
      <c r="Q141" s="49" t="n">
        <v>45973.79666559028</v>
      </c>
    </row>
    <row r="142">
      <c r="A142" s="49" t="n">
        <v>45971.48507262731</v>
      </c>
      <c r="B142" t="inlineStr">
        <is>
          <t>GASTOS OPERATIVOS</t>
        </is>
      </c>
      <c r="E142" t="inlineStr">
        <is>
          <t>BNCR CRC 188618</t>
        </is>
      </c>
      <c r="F142" t="inlineStr">
        <is>
          <t>Andrés Velasco</t>
        </is>
      </c>
      <c r="H142" s="50" t="n">
        <v>5000</v>
      </c>
      <c r="I142" s="51" t="n">
        <v>9.869999999999999</v>
      </c>
      <c r="J142" s="50" t="n">
        <v>508</v>
      </c>
      <c r="L142" t="inlineStr">
        <is>
          <t>Completado</t>
        </is>
      </c>
      <c r="P142" t="inlineStr">
        <is>
          <t>Importado v2.0</t>
        </is>
      </c>
      <c r="Q142" s="49" t="n">
        <v>45973.79666559028</v>
      </c>
    </row>
    <row r="143">
      <c r="A143" s="49" t="n">
        <v>45971.48507262731</v>
      </c>
      <c r="B143" t="inlineStr">
        <is>
          <t>INGRESOS</t>
        </is>
      </c>
      <c r="E143" t="inlineStr">
        <is>
          <t>BNCR CRC 188618</t>
        </is>
      </c>
      <c r="F143" t="inlineStr">
        <is>
          <t>BNCR</t>
        </is>
      </c>
      <c r="H143" s="50" t="n">
        <v>30000</v>
      </c>
      <c r="I143" s="51" t="n">
        <v>60.85</v>
      </c>
      <c r="J143" s="50" t="n">
        <v>508</v>
      </c>
      <c r="L143" t="inlineStr">
        <is>
          <t>Completado</t>
        </is>
      </c>
      <c r="P143" t="inlineStr">
        <is>
          <t>Importado v2.0</t>
        </is>
      </c>
      <c r="Q143" s="49" t="n">
        <v>45973.79666559028</v>
      </c>
    </row>
    <row r="144">
      <c r="A144" s="49" t="n">
        <v>45971.48507262731</v>
      </c>
      <c r="B144" t="inlineStr">
        <is>
          <t>TRANSFERENCIAS</t>
        </is>
      </c>
      <c r="E144" t="inlineStr">
        <is>
          <t>BNCR CRC 188618</t>
        </is>
      </c>
      <c r="F144" t="inlineStr">
        <is>
          <t>BNCR</t>
        </is>
      </c>
      <c r="H144" s="50" t="n">
        <v>386080.45</v>
      </c>
      <c r="I144" s="51" t="n">
        <v>762.25</v>
      </c>
      <c r="J144" s="50" t="n">
        <v>508</v>
      </c>
      <c r="L144" t="inlineStr">
        <is>
          <t>Completado</t>
        </is>
      </c>
      <c r="P144" t="inlineStr">
        <is>
          <t>Importado v2.0</t>
        </is>
      </c>
      <c r="Q144" s="49" t="n">
        <v>45973.79666559028</v>
      </c>
    </row>
    <row r="145">
      <c r="A145" s="49" t="n">
        <v>45971.48507262731</v>
      </c>
      <c r="B145" t="inlineStr">
        <is>
          <t>GASTOS OPERATIVOS</t>
        </is>
      </c>
      <c r="E145" t="inlineStr">
        <is>
          <t>BNCR CRC 188618</t>
        </is>
      </c>
      <c r="F145" t="inlineStr">
        <is>
          <t>Rosdeyli Salome Lopez</t>
        </is>
      </c>
      <c r="H145" s="50" t="n">
        <v>36000</v>
      </c>
      <c r="I145" s="51" t="n">
        <v>71.08</v>
      </c>
      <c r="J145" s="50" t="n">
        <v>508</v>
      </c>
      <c r="L145" t="inlineStr">
        <is>
          <t>Completado</t>
        </is>
      </c>
      <c r="P145" t="inlineStr">
        <is>
          <t>Importado v2.0</t>
        </is>
      </c>
      <c r="Q145" s="49" t="n">
        <v>45973.79666559028</v>
      </c>
    </row>
    <row r="146">
      <c r="A146" s="49" t="n">
        <v>45971.48507262731</v>
      </c>
      <c r="B146" t="inlineStr">
        <is>
          <t>INGRESOS</t>
        </is>
      </c>
      <c r="E146" t="inlineStr">
        <is>
          <t>BNCR CRC 188618</t>
        </is>
      </c>
      <c r="F146" t="inlineStr">
        <is>
          <t>José Alejandro Alfaro</t>
        </is>
      </c>
      <c r="H146" s="50" t="n">
        <v>2000</v>
      </c>
      <c r="I146" s="51" t="n">
        <v>3.95</v>
      </c>
      <c r="J146" s="50" t="n">
        <v>508</v>
      </c>
      <c r="L146" t="inlineStr">
        <is>
          <t>Completado</t>
        </is>
      </c>
      <c r="P146" t="inlineStr">
        <is>
          <t>Importado v2.0</t>
        </is>
      </c>
      <c r="Q146" s="49" t="n">
        <v>45973.79666559028</v>
      </c>
    </row>
    <row r="147">
      <c r="A147" s="49" t="n">
        <v>45971.48507263889</v>
      </c>
      <c r="B147" t="inlineStr">
        <is>
          <t>GASTOS OPERATIVOS</t>
        </is>
      </c>
      <c r="E147" t="inlineStr">
        <is>
          <t>Tarjeta BNCR Visa 3519</t>
        </is>
      </c>
      <c r="F147" t="inlineStr">
        <is>
          <t>Uber Eats</t>
        </is>
      </c>
      <c r="H147" s="50" t="n">
        <v>0</v>
      </c>
      <c r="I147" s="51" t="n">
        <v>21.16</v>
      </c>
      <c r="J147" s="50" t="n">
        <v>508</v>
      </c>
      <c r="L147" t="inlineStr">
        <is>
          <t>Completado</t>
        </is>
      </c>
      <c r="P147" t="inlineStr">
        <is>
          <t>Importado v2.0</t>
        </is>
      </c>
      <c r="Q147" s="49" t="n">
        <v>45973.79666559028</v>
      </c>
    </row>
    <row r="148">
      <c r="A148" s="49" t="n">
        <v>45971.48507263889</v>
      </c>
      <c r="B148" t="inlineStr">
        <is>
          <t>GASTOS OPERATIVOS</t>
        </is>
      </c>
      <c r="E148" t="inlineStr">
        <is>
          <t>Tarjeta BNCR Visa 3519</t>
        </is>
      </c>
      <c r="F148" t="inlineStr">
        <is>
          <t>Auto Mercado Online</t>
        </is>
      </c>
      <c r="H148" s="50" t="n">
        <v>6774.35</v>
      </c>
      <c r="I148" s="51" t="n">
        <v>13.37</v>
      </c>
      <c r="J148" s="50" t="n">
        <v>508</v>
      </c>
      <c r="L148" t="inlineStr">
        <is>
          <t>Completado</t>
        </is>
      </c>
      <c r="P148" t="inlineStr">
        <is>
          <t>Importado v2.0</t>
        </is>
      </c>
      <c r="Q148" s="49" t="n">
        <v>45973.79666559028</v>
      </c>
    </row>
    <row r="149">
      <c r="A149" s="49" t="n">
        <v>45971.48507263889</v>
      </c>
      <c r="B149" t="inlineStr">
        <is>
          <t>GASTOS OPERATIVOS</t>
        </is>
      </c>
      <c r="E149" t="inlineStr">
        <is>
          <t>Tarjeta BNCR Visa 3519</t>
        </is>
      </c>
      <c r="F149" t="inlineStr">
        <is>
          <t>Uber Eats</t>
        </is>
      </c>
      <c r="H149" s="50" t="n">
        <v>0</v>
      </c>
      <c r="I149" s="51" t="n">
        <v>30.06</v>
      </c>
      <c r="J149" s="50" t="n">
        <v>508</v>
      </c>
      <c r="L149" t="inlineStr">
        <is>
          <t>Completado</t>
        </is>
      </c>
      <c r="P149" t="inlineStr">
        <is>
          <t>Importado v2.0</t>
        </is>
      </c>
      <c r="Q149" s="49" t="n">
        <v>45973.79666559028</v>
      </c>
    </row>
    <row r="150">
      <c r="A150" s="49" t="n">
        <v>45971.48507263889</v>
      </c>
      <c r="B150" t="inlineStr">
        <is>
          <t>GASTOS OPERATIVOS</t>
        </is>
      </c>
      <c r="E150" t="inlineStr">
        <is>
          <t>Tarjeta BNCR Visa 3519</t>
        </is>
      </c>
      <c r="F150" t="inlineStr">
        <is>
          <t>Comunidad PAS</t>
        </is>
      </c>
      <c r="H150" s="50" t="n">
        <v>5700</v>
      </c>
      <c r="I150" s="51" t="n">
        <v>11.25</v>
      </c>
      <c r="J150" s="50" t="n">
        <v>508</v>
      </c>
      <c r="L150" t="inlineStr">
        <is>
          <t>Completado</t>
        </is>
      </c>
      <c r="P150" t="inlineStr">
        <is>
          <t>Importado v2.0</t>
        </is>
      </c>
      <c r="Q150" s="49" t="n">
        <v>45973.79666559028</v>
      </c>
    </row>
    <row r="151">
      <c r="A151" s="49" t="n">
        <v>45971.48507263889</v>
      </c>
      <c r="B151" t="inlineStr">
        <is>
          <t>GASTOS OPERATIVOS</t>
        </is>
      </c>
      <c r="E151" t="inlineStr">
        <is>
          <t>Tarjeta BNCR Visa 3519</t>
        </is>
      </c>
      <c r="F151" t="inlineStr">
        <is>
          <t>La Frikitona</t>
        </is>
      </c>
      <c r="H151" s="50" t="n">
        <v>22800</v>
      </c>
      <c r="I151" s="51" t="n">
        <v>45.01</v>
      </c>
      <c r="J151" s="50" t="n">
        <v>508</v>
      </c>
      <c r="L151" t="inlineStr">
        <is>
          <t>Completado</t>
        </is>
      </c>
      <c r="P151" t="inlineStr">
        <is>
          <t>Importado v2.0</t>
        </is>
      </c>
      <c r="Q151" s="49" t="n">
        <v>45973.79666559028</v>
      </c>
    </row>
    <row r="152">
      <c r="A152" s="49" t="n">
        <v>45971.48507263889</v>
      </c>
      <c r="B152" t="inlineStr">
        <is>
          <t>GASTOS OPERATIVOS</t>
        </is>
      </c>
      <c r="E152" t="inlineStr">
        <is>
          <t>Tarjeta BNCR Visa 3519</t>
        </is>
      </c>
      <c r="F152" t="inlineStr">
        <is>
          <t>La Frikitona</t>
        </is>
      </c>
      <c r="H152" s="50" t="n">
        <v>3750</v>
      </c>
      <c r="I152" s="51" t="n">
        <v>7.4</v>
      </c>
      <c r="J152" s="50" t="n">
        <v>508</v>
      </c>
      <c r="L152" t="inlineStr">
        <is>
          <t>Completado</t>
        </is>
      </c>
      <c r="P152" t="inlineStr">
        <is>
          <t>Importado v2.0</t>
        </is>
      </c>
      <c r="Q152" s="49" t="n">
        <v>45973.79666559028</v>
      </c>
    </row>
    <row r="153">
      <c r="A153" s="49" t="n">
        <v>45971.48507263889</v>
      </c>
      <c r="B153" t="inlineStr">
        <is>
          <t>GASTOS OPERATIVOS</t>
        </is>
      </c>
      <c r="E153" t="inlineStr">
        <is>
          <t>Tarjeta BNCR Visa 3519</t>
        </is>
      </c>
      <c r="F153" t="inlineStr">
        <is>
          <t>Tienda Pronto Barreal</t>
        </is>
      </c>
      <c r="H153" s="50" t="n">
        <v>6550</v>
      </c>
      <c r="I153" s="51" t="n">
        <v>12.93</v>
      </c>
      <c r="J153" s="50" t="n">
        <v>508</v>
      </c>
      <c r="L153" t="inlineStr">
        <is>
          <t>Completado</t>
        </is>
      </c>
      <c r="P153" t="inlineStr">
        <is>
          <t>Importado v2.0</t>
        </is>
      </c>
      <c r="Q153" s="49" t="n">
        <v>45973.79666559028</v>
      </c>
    </row>
    <row r="154">
      <c r="A154" s="49" t="n">
        <v>45971.48507263889</v>
      </c>
      <c r="B154" t="inlineStr">
        <is>
          <t>GASTOS OPERATIVOS</t>
        </is>
      </c>
      <c r="E154" t="inlineStr">
        <is>
          <t>Tarjeta BNCR Visa 3519</t>
        </is>
      </c>
      <c r="F154" t="inlineStr">
        <is>
          <t>Auto Mercado Online</t>
        </is>
      </c>
      <c r="H154" s="50" t="n">
        <v>54010</v>
      </c>
      <c r="I154" s="51" t="n">
        <v>106.63</v>
      </c>
      <c r="J154" s="50" t="n">
        <v>508</v>
      </c>
      <c r="L154" t="inlineStr">
        <is>
          <t>Completado</t>
        </is>
      </c>
      <c r="P154" t="inlineStr">
        <is>
          <t>Importado v2.0</t>
        </is>
      </c>
      <c r="Q154" s="49" t="n">
        <v>45973.79666559028</v>
      </c>
    </row>
    <row r="155">
      <c r="A155" s="49" t="n">
        <v>45971.48507263889</v>
      </c>
      <c r="B155" t="inlineStr">
        <is>
          <t>GASTOS OPERATIVOS</t>
        </is>
      </c>
      <c r="E155" t="inlineStr">
        <is>
          <t>Tarjeta BNCR Visa 3519</t>
        </is>
      </c>
      <c r="F155" t="inlineStr">
        <is>
          <t>Auto Mercado Online</t>
        </is>
      </c>
      <c r="H155" s="50" t="n">
        <v>122605</v>
      </c>
      <c r="I155" s="51" t="n">
        <v>242.06</v>
      </c>
      <c r="J155" s="50" t="n">
        <v>508</v>
      </c>
      <c r="L155" t="inlineStr">
        <is>
          <t>Completado</t>
        </is>
      </c>
      <c r="P155" t="inlineStr">
        <is>
          <t>Importado v2.0</t>
        </is>
      </c>
      <c r="Q155" s="49" t="n">
        <v>45973.79666559028</v>
      </c>
    </row>
    <row r="156">
      <c r="A156" s="49" t="n">
        <v>45971.48507263889</v>
      </c>
      <c r="B156" t="inlineStr">
        <is>
          <t>GASTOS OPERATIVOS</t>
        </is>
      </c>
      <c r="E156" t="inlineStr">
        <is>
          <t>Tarjeta BNCR Visa 3519</t>
        </is>
      </c>
      <c r="F156" t="inlineStr">
        <is>
          <t>Auto Mercado Online</t>
        </is>
      </c>
      <c r="H156" s="50" t="n">
        <v>50</v>
      </c>
      <c r="I156" s="51" t="n">
        <v>0.1</v>
      </c>
      <c r="J156" s="50" t="n">
        <v>508</v>
      </c>
      <c r="L156" t="inlineStr">
        <is>
          <t>Completado</t>
        </is>
      </c>
      <c r="P156" t="inlineStr">
        <is>
          <t>Importado v2.0</t>
        </is>
      </c>
      <c r="Q156" s="49" t="n">
        <v>45973.79666559028</v>
      </c>
    </row>
    <row r="157">
      <c r="A157" s="49" t="n">
        <v>45971.48507266204</v>
      </c>
      <c r="B157" t="inlineStr">
        <is>
          <t>GASTOS OPERATIVOS</t>
        </is>
      </c>
      <c r="E157" t="inlineStr">
        <is>
          <t>Tarjeta BNCR Visa 3519</t>
        </is>
      </c>
      <c r="F157" t="inlineStr">
        <is>
          <t>Auto Mercado Online</t>
        </is>
      </c>
      <c r="H157" s="50" t="n">
        <v>-3350</v>
      </c>
      <c r="I157" s="51" t="n">
        <v>-6.61</v>
      </c>
      <c r="J157" s="50" t="n">
        <v>508</v>
      </c>
      <c r="L157" t="inlineStr">
        <is>
          <t>Completado</t>
        </is>
      </c>
      <c r="P157" t="inlineStr">
        <is>
          <t>Importado v2.0</t>
        </is>
      </c>
      <c r="Q157" s="49" t="n">
        <v>45973.79666559028</v>
      </c>
    </row>
    <row r="158">
      <c r="A158" s="49" t="n">
        <v>45971.48507266204</v>
      </c>
      <c r="B158" t="inlineStr">
        <is>
          <t>COMPRAS PARA REVENTA</t>
        </is>
      </c>
      <c r="E158" t="inlineStr">
        <is>
          <t>Tarjeta BNCR Visa 3519</t>
        </is>
      </c>
      <c r="F158" t="inlineStr">
        <is>
          <t>Amazon</t>
        </is>
      </c>
      <c r="H158" s="50" t="n">
        <v>0</v>
      </c>
      <c r="I158" s="51" t="n">
        <v>89.70999999999999</v>
      </c>
      <c r="J158" s="50" t="n">
        <v>508</v>
      </c>
      <c r="L158" t="inlineStr">
        <is>
          <t>Completado</t>
        </is>
      </c>
      <c r="P158" t="inlineStr">
        <is>
          <t>Importado v2.0</t>
        </is>
      </c>
      <c r="Q158" s="49" t="n">
        <v>45973.79666559028</v>
      </c>
    </row>
    <row r="159">
      <c r="A159" s="49" t="n">
        <v>45971.48507266204</v>
      </c>
      <c r="B159" t="inlineStr">
        <is>
          <t>GASTOS OPERATIVOS</t>
        </is>
      </c>
      <c r="E159" t="inlineStr">
        <is>
          <t>Tarjeta BNCR Visa 3519</t>
        </is>
      </c>
      <c r="F159" t="inlineStr">
        <is>
          <t>Multimercado AM PM</t>
        </is>
      </c>
      <c r="H159" s="50" t="n">
        <v>3200</v>
      </c>
      <c r="I159" s="51" t="n">
        <v>6.32</v>
      </c>
      <c r="J159" s="50" t="n">
        <v>508</v>
      </c>
      <c r="L159" t="inlineStr">
        <is>
          <t>Completado</t>
        </is>
      </c>
      <c r="P159" t="inlineStr">
        <is>
          <t>Importado v2.0</t>
        </is>
      </c>
      <c r="Q159" s="49" t="n">
        <v>45973.79666559028</v>
      </c>
    </row>
    <row r="160">
      <c r="A160" s="49" t="n">
        <v>45971.48507267361</v>
      </c>
      <c r="B160" t="inlineStr">
        <is>
          <t>GASTOS OPERATIVOS</t>
        </is>
      </c>
      <c r="E160" t="inlineStr">
        <is>
          <t>Tarjeta BNCR Visa 3519</t>
        </is>
      </c>
      <c r="F160" t="inlineStr">
        <is>
          <t>Mini Super San Agustín</t>
        </is>
      </c>
      <c r="H160" s="50" t="n">
        <v>600</v>
      </c>
      <c r="I160" s="51" t="n">
        <v>1.18</v>
      </c>
      <c r="J160" s="50" t="n">
        <v>508</v>
      </c>
      <c r="L160" t="inlineStr">
        <is>
          <t>Completado</t>
        </is>
      </c>
      <c r="P160" t="inlineStr">
        <is>
          <t>Importado v2.0</t>
        </is>
      </c>
      <c r="Q160" s="49" t="n">
        <v>45973.79666559028</v>
      </c>
    </row>
    <row r="161">
      <c r="A161" s="49" t="n">
        <v>45971.48507267361</v>
      </c>
      <c r="B161" t="inlineStr">
        <is>
          <t>GASTOS OPERATIVOS</t>
        </is>
      </c>
      <c r="E161" t="inlineStr">
        <is>
          <t>Tarjeta BNCR Visa 3519</t>
        </is>
      </c>
      <c r="F161" t="inlineStr">
        <is>
          <t>Abastecedor La Esquina</t>
        </is>
      </c>
      <c r="H161" s="50" t="n">
        <v>2400</v>
      </c>
      <c r="I161" s="51" t="n">
        <v>4.74</v>
      </c>
      <c r="J161" s="50" t="n">
        <v>508</v>
      </c>
      <c r="L161" t="inlineStr">
        <is>
          <t>Completado</t>
        </is>
      </c>
      <c r="P161" t="inlineStr">
        <is>
          <t>Importado v2.0</t>
        </is>
      </c>
      <c r="Q161" s="49" t="n">
        <v>45973.79666559028</v>
      </c>
    </row>
    <row r="162">
      <c r="A162" s="49" t="n">
        <v>45971.48507267361</v>
      </c>
      <c r="B162" t="inlineStr">
        <is>
          <t>COMPRAS PARA REVENTA</t>
        </is>
      </c>
      <c r="E162" t="inlineStr">
        <is>
          <t>Tarjeta BNCR Visa 3519</t>
        </is>
      </c>
      <c r="F162" t="inlineStr">
        <is>
          <t>Amazon</t>
        </is>
      </c>
      <c r="H162" s="50" t="n">
        <v>0</v>
      </c>
      <c r="I162" s="51" t="n">
        <v>38.51</v>
      </c>
      <c r="J162" s="50" t="n">
        <v>508</v>
      </c>
      <c r="L162" t="inlineStr">
        <is>
          <t>Completado</t>
        </is>
      </c>
      <c r="P162" t="inlineStr">
        <is>
          <t>Importado v2.0</t>
        </is>
      </c>
      <c r="Q162" s="49" t="n">
        <v>45973.79666559028</v>
      </c>
    </row>
    <row r="163">
      <c r="A163" s="49" t="n">
        <v>45971.48507267361</v>
      </c>
      <c r="B163" t="inlineStr">
        <is>
          <t>GASTOS OPERATIVOS</t>
        </is>
      </c>
      <c r="E163" t="inlineStr">
        <is>
          <t>Tarjeta BNCR Visa 3519</t>
        </is>
      </c>
      <c r="F163" t="inlineStr">
        <is>
          <t>Uber</t>
        </is>
      </c>
      <c r="H163" s="50" t="n">
        <v>0</v>
      </c>
      <c r="I163" s="51" t="n">
        <v>7.33</v>
      </c>
      <c r="J163" s="50" t="n">
        <v>508</v>
      </c>
      <c r="L163" t="inlineStr">
        <is>
          <t>Completado</t>
        </is>
      </c>
      <c r="P163" t="inlineStr">
        <is>
          <t>Importado v2.0</t>
        </is>
      </c>
      <c r="Q163" s="49" t="n">
        <v>45973.79666559028</v>
      </c>
    </row>
    <row r="164">
      <c r="A164" s="49" t="n">
        <v>45971.48507267361</v>
      </c>
      <c r="B164" t="inlineStr">
        <is>
          <t>COMPRAS PARA REVENTA</t>
        </is>
      </c>
      <c r="E164" t="inlineStr">
        <is>
          <t>Tarjeta BNCR MC 8759</t>
        </is>
      </c>
      <c r="F164" t="inlineStr">
        <is>
          <t>Anthropic</t>
        </is>
      </c>
      <c r="H164" s="50" t="n">
        <v>0</v>
      </c>
      <c r="I164" s="51" t="n">
        <v>10</v>
      </c>
      <c r="J164" s="50" t="n">
        <v>508</v>
      </c>
      <c r="L164" t="inlineStr">
        <is>
          <t>Completado</t>
        </is>
      </c>
      <c r="P164" t="inlineStr">
        <is>
          <t>Importado v2.0</t>
        </is>
      </c>
      <c r="Q164" s="49" t="n">
        <v>45973.79666559028</v>
      </c>
    </row>
    <row r="165">
      <c r="A165" s="49" t="n">
        <v>45971.48507267361</v>
      </c>
      <c r="B165" t="inlineStr">
        <is>
          <t>COMPRAS PARA REVENTA</t>
        </is>
      </c>
      <c r="E165" t="inlineStr">
        <is>
          <t>Tarjeta BNCR MC 8759</t>
        </is>
      </c>
      <c r="F165" t="inlineStr">
        <is>
          <t>Apple Inc</t>
        </is>
      </c>
      <c r="H165" s="50" t="n">
        <v>0</v>
      </c>
      <c r="I165" s="51" t="n">
        <v>39.99</v>
      </c>
      <c r="J165" s="50" t="n">
        <v>508</v>
      </c>
      <c r="L165" t="inlineStr">
        <is>
          <t>Completado</t>
        </is>
      </c>
      <c r="P165" t="inlineStr">
        <is>
          <t>Importado v2.0</t>
        </is>
      </c>
      <c r="Q165" s="49" t="n">
        <v>45973.79666559028</v>
      </c>
    </row>
    <row r="166">
      <c r="A166" s="49" t="n">
        <v>45971.48507267361</v>
      </c>
      <c r="B166" t="inlineStr">
        <is>
          <t>GASTOS OPERATIVOS</t>
        </is>
      </c>
      <c r="E166" t="inlineStr">
        <is>
          <t>Tarjeta BNCR MC 8759</t>
        </is>
      </c>
      <c r="F166" t="inlineStr">
        <is>
          <t>Netflix</t>
        </is>
      </c>
      <c r="H166" s="50" t="n">
        <v>0</v>
      </c>
      <c r="I166" s="51" t="n">
        <v>21.45</v>
      </c>
      <c r="J166" s="50" t="n">
        <v>508</v>
      </c>
      <c r="L166" t="inlineStr">
        <is>
          <t>Completado</t>
        </is>
      </c>
      <c r="P166" t="inlineStr">
        <is>
          <t>Importado v2.0</t>
        </is>
      </c>
      <c r="Q166" s="49" t="n">
        <v>45973.79666559028</v>
      </c>
    </row>
    <row r="167">
      <c r="A167" s="49" t="n">
        <v>45971.48507267361</v>
      </c>
      <c r="B167" t="inlineStr">
        <is>
          <t>COMPRAS PARA REVENTA</t>
        </is>
      </c>
      <c r="E167" t="inlineStr">
        <is>
          <t>Tarjeta BNCR Visa 9837</t>
        </is>
      </c>
      <c r="F167" t="inlineStr">
        <is>
          <t>PayPal Cleverbridge</t>
        </is>
      </c>
      <c r="H167" s="50" t="n">
        <v>0</v>
      </c>
      <c r="I167" s="51" t="n">
        <v>275</v>
      </c>
      <c r="J167" s="50" t="n">
        <v>508</v>
      </c>
      <c r="L167" t="inlineStr">
        <is>
          <t>Completado</t>
        </is>
      </c>
      <c r="P167" t="inlineStr">
        <is>
          <t>Importado v2.0</t>
        </is>
      </c>
      <c r="Q167" s="49" t="n">
        <v>45973.79666559028</v>
      </c>
    </row>
    <row r="168">
      <c r="A168" s="49" t="n">
        <v>45971.51119626158</v>
      </c>
      <c r="B168" t="inlineStr">
        <is>
          <t>TRANSFERENCIAS</t>
        </is>
      </c>
      <c r="E168" t="inlineStr">
        <is>
          <t>Promerica USD (40000003881774)</t>
        </is>
      </c>
      <c r="F168" t="inlineStr">
        <is>
          <t>BNCR</t>
        </is>
      </c>
      <c r="H168" s="50" t="n">
        <v>0</v>
      </c>
      <c r="I168" s="51" t="n">
        <v>-500</v>
      </c>
      <c r="J168" s="50" t="n">
        <v>508</v>
      </c>
      <c r="L168" t="inlineStr">
        <is>
          <t>Completado</t>
        </is>
      </c>
      <c r="P168" t="inlineStr">
        <is>
          <t>Importado v2.0</t>
        </is>
      </c>
      <c r="Q168" s="49" t="n">
        <v>45973.79666560185</v>
      </c>
    </row>
    <row r="169">
      <c r="A169" s="49" t="n">
        <v>45971.51119626158</v>
      </c>
      <c r="B169" t="inlineStr">
        <is>
          <t>INGRESOS</t>
        </is>
      </c>
      <c r="E169" t="inlineStr">
        <is>
          <t>Promerica USD (40000003881774)</t>
        </is>
      </c>
      <c r="F169" t="inlineStr">
        <is>
          <t>VWR International LT</t>
        </is>
      </c>
      <c r="H169" s="50" t="n">
        <v>0</v>
      </c>
      <c r="I169" s="51" t="n">
        <v>350</v>
      </c>
      <c r="J169" s="50" t="n">
        <v>508</v>
      </c>
      <c r="L169" t="inlineStr">
        <is>
          <t>Completado</t>
        </is>
      </c>
      <c r="P169" t="inlineStr">
        <is>
          <t>Importado v2.0</t>
        </is>
      </c>
      <c r="Q169" s="49" t="n">
        <v>45973.79666560185</v>
      </c>
    </row>
    <row r="170">
      <c r="A170" s="49" t="n">
        <v>45971.51119626158</v>
      </c>
      <c r="B170" t="inlineStr">
        <is>
          <t>COMPRAS PARA REVENTA</t>
        </is>
      </c>
      <c r="E170" t="inlineStr">
        <is>
          <t>Promerica USD (40000003881774)</t>
        </is>
      </c>
      <c r="F170" t="inlineStr">
        <is>
          <t>Proveedor</t>
        </is>
      </c>
      <c r="H170" s="50" t="n">
        <v>0</v>
      </c>
      <c r="I170" s="51" t="n">
        <v>-149.01</v>
      </c>
      <c r="J170" s="50" t="n">
        <v>508</v>
      </c>
      <c r="L170" t="inlineStr">
        <is>
          <t>Completado</t>
        </is>
      </c>
      <c r="P170" t="inlineStr">
        <is>
          <t>Importado v2.0</t>
        </is>
      </c>
      <c r="Q170" s="49" t="n">
        <v>45973.79666560185</v>
      </c>
    </row>
    <row r="171">
      <c r="A171" s="49" t="n">
        <v>45971.51119626158</v>
      </c>
      <c r="B171" t="inlineStr">
        <is>
          <t>GASTOS OPERATIVOS</t>
        </is>
      </c>
      <c r="E171" t="inlineStr">
        <is>
          <t>Promerica USD (40000003881774)</t>
        </is>
      </c>
      <c r="F171" t="inlineStr">
        <is>
          <t>Casa 10E</t>
        </is>
      </c>
      <c r="H171" s="50" t="n">
        <v>0</v>
      </c>
      <c r="I171" s="51" t="n">
        <v>-775</v>
      </c>
      <c r="J171" s="50" t="n">
        <v>508</v>
      </c>
      <c r="L171" t="inlineStr">
        <is>
          <t>Completado</t>
        </is>
      </c>
      <c r="P171" t="inlineStr">
        <is>
          <t>Importado v2.0</t>
        </is>
      </c>
      <c r="Q171" s="49" t="n">
        <v>45973.79666560185</v>
      </c>
    </row>
    <row r="172">
      <c r="A172" s="49" t="n">
        <v>45971.51119626158</v>
      </c>
      <c r="B172" t="inlineStr">
        <is>
          <t>COMPRAS PARA REVENTA</t>
        </is>
      </c>
      <c r="E172" t="inlineStr">
        <is>
          <t>Promerica USD (40000003881774)</t>
        </is>
      </c>
      <c r="F172" t="inlineStr">
        <is>
          <t>INTCOMEX Costa Rica</t>
        </is>
      </c>
      <c r="H172" s="50" t="n">
        <v>0</v>
      </c>
      <c r="I172" s="51" t="n">
        <v>-410.09</v>
      </c>
      <c r="J172" s="50" t="n">
        <v>508</v>
      </c>
      <c r="L172" t="inlineStr">
        <is>
          <t>Completado</t>
        </is>
      </c>
      <c r="P172" t="inlineStr">
        <is>
          <t>Importado v2.0</t>
        </is>
      </c>
      <c r="Q172" s="49" t="n">
        <v>45973.79666560185</v>
      </c>
    </row>
    <row r="173">
      <c r="A173" s="49" t="n">
        <v>45971.51119626158</v>
      </c>
      <c r="B173" t="inlineStr">
        <is>
          <t>INGRESOS</t>
        </is>
      </c>
      <c r="E173" t="inlineStr">
        <is>
          <t>Promerica USD (40000003881774)</t>
        </is>
      </c>
      <c r="F173" t="inlineStr">
        <is>
          <t>Corporación Tierrare</t>
        </is>
      </c>
      <c r="H173" s="50" t="n">
        <v>0</v>
      </c>
      <c r="I173" s="51" t="n">
        <v>1186.5</v>
      </c>
      <c r="J173" s="50" t="n">
        <v>508</v>
      </c>
      <c r="L173" t="inlineStr">
        <is>
          <t>Completado</t>
        </is>
      </c>
      <c r="P173" t="inlineStr">
        <is>
          <t>Importado v2.0</t>
        </is>
      </c>
      <c r="Q173" s="49" t="n">
        <v>45973.79666560185</v>
      </c>
    </row>
    <row r="174">
      <c r="A174" s="49" t="n">
        <v>45971.51119627315</v>
      </c>
      <c r="B174" t="inlineStr">
        <is>
          <t>GASTOS OPERATIVOS</t>
        </is>
      </c>
      <c r="E174" t="inlineStr">
        <is>
          <t>Promerica USD (40000003881774)</t>
        </is>
      </c>
      <c r="F174" t="inlineStr">
        <is>
          <t>Unopetrol Barreal</t>
        </is>
      </c>
      <c r="H174" s="50" t="n">
        <v>0</v>
      </c>
      <c r="I174" s="51" t="n">
        <v>-73.61</v>
      </c>
      <c r="J174" s="50" t="n">
        <v>508</v>
      </c>
      <c r="L174" t="inlineStr">
        <is>
          <t>Completado</t>
        </is>
      </c>
      <c r="P174" t="inlineStr">
        <is>
          <t>Importado v2.0</t>
        </is>
      </c>
      <c r="Q174" s="49" t="n">
        <v>45973.79666560185</v>
      </c>
    </row>
    <row r="175">
      <c r="A175" s="49" t="n">
        <v>45971.51119627315</v>
      </c>
      <c r="B175" t="inlineStr">
        <is>
          <t>COMPRAS PARA REVENTA</t>
        </is>
      </c>
      <c r="E175" t="inlineStr">
        <is>
          <t>Promerica USD (40000003881774)</t>
        </is>
      </c>
      <c r="F175" t="inlineStr">
        <is>
          <t>SEA Global Logistics</t>
        </is>
      </c>
      <c r="H175" s="50" t="n">
        <v>0</v>
      </c>
      <c r="I175" s="51" t="n">
        <v>-29.38</v>
      </c>
      <c r="J175" s="50" t="n">
        <v>508</v>
      </c>
      <c r="L175" t="inlineStr">
        <is>
          <t>Completado</t>
        </is>
      </c>
      <c r="P175" t="inlineStr">
        <is>
          <t>Importado v2.0</t>
        </is>
      </c>
      <c r="Q175" s="49" t="n">
        <v>45973.79666560185</v>
      </c>
    </row>
    <row r="176">
      <c r="A176" s="49" t="n">
        <v>45971.51119627315</v>
      </c>
      <c r="B176" t="inlineStr">
        <is>
          <t>TRANSFERENCIAS</t>
        </is>
      </c>
      <c r="E176" t="inlineStr">
        <is>
          <t>Promerica USD (40000003881774)</t>
        </is>
      </c>
      <c r="F176" t="inlineStr">
        <is>
          <t>Alvaro Velasconet SRL</t>
        </is>
      </c>
      <c r="H176" s="50" t="n">
        <v>0</v>
      </c>
      <c r="I176" s="51" t="n">
        <v>282.5</v>
      </c>
      <c r="J176" s="50" t="n">
        <v>508</v>
      </c>
      <c r="L176" t="inlineStr">
        <is>
          <t>Completado</t>
        </is>
      </c>
      <c r="P176" t="inlineStr">
        <is>
          <t>Importado v2.0</t>
        </is>
      </c>
      <c r="Q176" s="49" t="n">
        <v>45973.79666560185</v>
      </c>
    </row>
    <row r="177">
      <c r="A177" s="49" t="n">
        <v>45971.51119627315</v>
      </c>
      <c r="B177" t="inlineStr">
        <is>
          <t>INGRESOS</t>
        </is>
      </c>
      <c r="E177" t="inlineStr">
        <is>
          <t>Promerica USD (40000003881774)</t>
        </is>
      </c>
      <c r="F177" t="inlineStr">
        <is>
          <t>Asociación Costarricense</t>
        </is>
      </c>
      <c r="H177" s="50" t="n">
        <v>0</v>
      </c>
      <c r="I177" s="51" t="n">
        <v>333.35</v>
      </c>
      <c r="J177" s="50" t="n">
        <v>508</v>
      </c>
      <c r="L177" t="inlineStr">
        <is>
          <t>Completado</t>
        </is>
      </c>
      <c r="P177" t="inlineStr">
        <is>
          <t>Importado v2.0</t>
        </is>
      </c>
      <c r="Q177" s="49" t="n">
        <v>45973.79666560185</v>
      </c>
    </row>
    <row r="178">
      <c r="A178" s="49" t="n">
        <v>45971.55685572917</v>
      </c>
      <c r="B178" t="inlineStr">
        <is>
          <t>GASTOS OPERATIVOS</t>
        </is>
      </c>
      <c r="E178" t="inlineStr">
        <is>
          <t>Promerica USD (40000003881774)</t>
        </is>
      </c>
      <c r="F178" t="inlineStr">
        <is>
          <t>Banco Promerica</t>
        </is>
      </c>
      <c r="H178" s="50" t="n">
        <v>0</v>
      </c>
      <c r="I178" s="51" t="n">
        <v>-3</v>
      </c>
      <c r="J178" s="50" t="n">
        <v>508</v>
      </c>
      <c r="L178" t="inlineStr">
        <is>
          <t>Completado</t>
        </is>
      </c>
      <c r="P178" t="inlineStr">
        <is>
          <t>Importado v2.0</t>
        </is>
      </c>
      <c r="Q178" s="49" t="n">
        <v>45973.79666560185</v>
      </c>
    </row>
    <row r="179">
      <c r="A179" s="49" t="n">
        <v>45971.55685572917</v>
      </c>
      <c r="B179" t="inlineStr">
        <is>
          <t>GASTOS OPERATIVOS</t>
        </is>
      </c>
      <c r="E179" t="inlineStr">
        <is>
          <t>Promerica USD (40000003881774)</t>
        </is>
      </c>
      <c r="F179" t="inlineStr">
        <is>
          <t>Banco Promerica</t>
        </is>
      </c>
      <c r="H179" s="50" t="n">
        <v>0</v>
      </c>
      <c r="I179" s="51" t="n">
        <v>-3</v>
      </c>
      <c r="J179" s="50" t="n">
        <v>508</v>
      </c>
      <c r="L179" t="inlineStr">
        <is>
          <t>Completado</t>
        </is>
      </c>
      <c r="P179" t="inlineStr">
        <is>
          <t>Importado v2.0</t>
        </is>
      </c>
      <c r="Q179" s="49" t="n">
        <v>45973.79666560185</v>
      </c>
    </row>
    <row r="180">
      <c r="A180" s="49" t="n">
        <v>45971.55685572917</v>
      </c>
      <c r="B180" t="inlineStr">
        <is>
          <t>GASTOS OPERATIVOS</t>
        </is>
      </c>
      <c r="E180" t="inlineStr">
        <is>
          <t>Promerica USD (40000003881774)</t>
        </is>
      </c>
      <c r="F180" t="inlineStr">
        <is>
          <t>Banco Promerica</t>
        </is>
      </c>
      <c r="H180" s="50" t="n">
        <v>0</v>
      </c>
      <c r="I180" s="51" t="n">
        <v>-3</v>
      </c>
      <c r="J180" s="50" t="n">
        <v>508</v>
      </c>
      <c r="L180" t="inlineStr">
        <is>
          <t>Completado</t>
        </is>
      </c>
      <c r="P180" t="inlineStr">
        <is>
          <t>Importado v2.0</t>
        </is>
      </c>
      <c r="Q180" s="49" t="n">
        <v>45973.79666560185</v>
      </c>
    </row>
    <row r="181">
      <c r="A181" s="49" t="n">
        <v>45971.55685572917</v>
      </c>
      <c r="B181" t="inlineStr">
        <is>
          <t>GASTOS OPERATIVOS</t>
        </is>
      </c>
      <c r="E181" t="inlineStr">
        <is>
          <t>Promerica USD (40000003881774)</t>
        </is>
      </c>
      <c r="F181" t="inlineStr">
        <is>
          <t>Banco Promerica</t>
        </is>
      </c>
      <c r="H181" s="50" t="n">
        <v>0</v>
      </c>
      <c r="I181" s="51" t="n">
        <v>-0.75</v>
      </c>
      <c r="J181" s="50" t="n">
        <v>508</v>
      </c>
      <c r="L181" t="inlineStr">
        <is>
          <t>Completado</t>
        </is>
      </c>
      <c r="P181" t="inlineStr">
        <is>
          <t>Importado v2.0</t>
        </is>
      </c>
      <c r="Q181" s="49" t="n">
        <v>45973.79666560185</v>
      </c>
    </row>
    <row r="182">
      <c r="A182" s="49" t="n">
        <v>45971.55685572917</v>
      </c>
      <c r="B182" t="inlineStr">
        <is>
          <t>GASTOS OPERATIVOS</t>
        </is>
      </c>
      <c r="E182" t="inlineStr">
        <is>
          <t>Promerica USD (40000003881774)</t>
        </is>
      </c>
      <c r="F182" t="inlineStr">
        <is>
          <t>Banco Promerica</t>
        </is>
      </c>
      <c r="H182" s="50" t="n">
        <v>0</v>
      </c>
      <c r="I182" s="51" t="n">
        <v>-3</v>
      </c>
      <c r="J182" s="50" t="n">
        <v>508</v>
      </c>
      <c r="L182" t="inlineStr">
        <is>
          <t>Completado</t>
        </is>
      </c>
      <c r="P182" t="inlineStr">
        <is>
          <t>Importado v2.0</t>
        </is>
      </c>
      <c r="Q182" s="49" t="n">
        <v>45973.79666560185</v>
      </c>
    </row>
    <row r="183">
      <c r="A183" s="49" t="n">
        <v>45971.55685572917</v>
      </c>
      <c r="B183" t="inlineStr">
        <is>
          <t>GASTOS OPERATIVOS</t>
        </is>
      </c>
      <c r="E183" t="inlineStr">
        <is>
          <t>Promerica USD (40000003881774)</t>
        </is>
      </c>
      <c r="F183" t="inlineStr">
        <is>
          <t>Banco Promerica</t>
        </is>
      </c>
      <c r="H183" s="50" t="n">
        <v>0</v>
      </c>
      <c r="I183" s="51" t="n">
        <v>-3</v>
      </c>
      <c r="J183" s="50" t="n">
        <v>508</v>
      </c>
      <c r="L183" t="inlineStr">
        <is>
          <t>Completado</t>
        </is>
      </c>
      <c r="P183" t="inlineStr">
        <is>
          <t>Importado v2.0</t>
        </is>
      </c>
      <c r="Q183" s="49" t="n">
        <v>45973.79666560185</v>
      </c>
    </row>
    <row r="184">
      <c r="A184" s="49" t="n">
        <v>45971.55685572917</v>
      </c>
      <c r="B184" t="inlineStr">
        <is>
          <t>GASTOS OPERATIVOS</t>
        </is>
      </c>
      <c r="E184" t="inlineStr">
        <is>
          <t>Promerica USD (40000003881774)</t>
        </is>
      </c>
      <c r="F184" t="inlineStr">
        <is>
          <t>Banco Promerica</t>
        </is>
      </c>
      <c r="H184" s="50" t="n">
        <v>0</v>
      </c>
      <c r="I184" s="51" t="n">
        <v>-3</v>
      </c>
      <c r="J184" s="50" t="n">
        <v>508</v>
      </c>
      <c r="L184" t="inlineStr">
        <is>
          <t>Completado</t>
        </is>
      </c>
      <c r="P184" t="inlineStr">
        <is>
          <t>Importado v2.0</t>
        </is>
      </c>
      <c r="Q184" s="49" t="n">
        <v>45973.79666560185</v>
      </c>
    </row>
    <row r="185">
      <c r="A185" s="49" t="n">
        <v>45971.55685572917</v>
      </c>
      <c r="B185" t="inlineStr">
        <is>
          <t>GASTOS OPERATIVOS</t>
        </is>
      </c>
      <c r="E185" t="inlineStr">
        <is>
          <t>Promerica USD (40000003881774)</t>
        </is>
      </c>
      <c r="F185" t="inlineStr">
        <is>
          <t>Banco Promerica</t>
        </is>
      </c>
      <c r="H185" s="50" t="n">
        <v>0</v>
      </c>
      <c r="I185" s="51" t="n">
        <v>-0.75</v>
      </c>
      <c r="J185" s="50" t="n">
        <v>508</v>
      </c>
      <c r="L185" t="inlineStr">
        <is>
          <t>Completado</t>
        </is>
      </c>
      <c r="P185" t="inlineStr">
        <is>
          <t>Importado v2.0</t>
        </is>
      </c>
      <c r="Q185" s="49" t="n">
        <v>45973.79666560185</v>
      </c>
    </row>
    <row r="186">
      <c r="A186" s="49" t="n">
        <v>45971.55685572917</v>
      </c>
      <c r="B186" t="inlineStr">
        <is>
          <t>GASTOS OPERATIVOS</t>
        </is>
      </c>
      <c r="E186" t="inlineStr">
        <is>
          <t>Promerica USD (40000003881774)</t>
        </is>
      </c>
      <c r="F186" t="inlineStr">
        <is>
          <t>Banco Promerica</t>
        </is>
      </c>
      <c r="H186" s="50" t="n">
        <v>0</v>
      </c>
      <c r="I186" s="51" t="n">
        <v>-0.75</v>
      </c>
      <c r="J186" s="50" t="n">
        <v>508</v>
      </c>
      <c r="L186" t="inlineStr">
        <is>
          <t>Completado</t>
        </is>
      </c>
      <c r="P186" t="inlineStr">
        <is>
          <t>Importado v2.0</t>
        </is>
      </c>
      <c r="Q186" s="49" t="n">
        <v>45973.79666560185</v>
      </c>
    </row>
    <row r="187">
      <c r="A187" s="49" t="n">
        <v>45971.55685572917</v>
      </c>
      <c r="B187" t="inlineStr">
        <is>
          <t>TRANSFERENCIAS</t>
        </is>
      </c>
      <c r="E187" t="inlineStr">
        <is>
          <t>Promerica USD (40000003881774)</t>
        </is>
      </c>
      <c r="F187" t="inlineStr">
        <is>
          <t>Banco Promerica</t>
        </is>
      </c>
      <c r="H187" s="50" t="n">
        <v>0</v>
      </c>
      <c r="I187" s="51" t="n">
        <v>0.75</v>
      </c>
      <c r="J187" s="50" t="n">
        <v>508</v>
      </c>
      <c r="L187" t="inlineStr">
        <is>
          <t>Completado</t>
        </is>
      </c>
      <c r="P187" t="inlineStr">
        <is>
          <t>Importado v2.0</t>
        </is>
      </c>
      <c r="Q187" s="49" t="n">
        <v>45973.79666560185</v>
      </c>
    </row>
    <row r="188">
      <c r="A188" s="49" t="n">
        <v>45971.55685572917</v>
      </c>
      <c r="B188" t="inlineStr">
        <is>
          <t>GASTOS OPERATIVOS</t>
        </is>
      </c>
      <c r="E188" t="inlineStr">
        <is>
          <t>Promerica USD (40000003881774)</t>
        </is>
      </c>
      <c r="F188" t="inlineStr">
        <is>
          <t>Banco Promerica</t>
        </is>
      </c>
      <c r="H188" s="50" t="n">
        <v>0</v>
      </c>
      <c r="I188" s="51" t="n">
        <v>-0.75</v>
      </c>
      <c r="J188" s="50" t="n">
        <v>508</v>
      </c>
      <c r="L188" t="inlineStr">
        <is>
          <t>Completado</t>
        </is>
      </c>
      <c r="P188" t="inlineStr">
        <is>
          <t>Importado v2.0</t>
        </is>
      </c>
      <c r="Q188" s="49" t="n">
        <v>45973.79666560185</v>
      </c>
    </row>
    <row r="189">
      <c r="A189" s="49" t="n">
        <v>45971.55685572917</v>
      </c>
      <c r="B189" t="inlineStr">
        <is>
          <t>COMPRAS PARA REVENTA</t>
        </is>
      </c>
      <c r="E189" t="inlineStr">
        <is>
          <t>Promerica USD (40000003881774)</t>
        </is>
      </c>
      <c r="F189" t="inlineStr">
        <is>
          <t>SEA Global Logistics</t>
        </is>
      </c>
      <c r="H189" s="50" t="n">
        <v>0</v>
      </c>
      <c r="I189" s="51" t="n">
        <v>-58.76</v>
      </c>
      <c r="J189" s="50" t="n">
        <v>508</v>
      </c>
      <c r="L189" t="inlineStr">
        <is>
          <t>Completado</t>
        </is>
      </c>
      <c r="P189" t="inlineStr">
        <is>
          <t>Importado v2.0</t>
        </is>
      </c>
      <c r="Q189" s="49" t="n">
        <v>45973.79666560185</v>
      </c>
    </row>
    <row r="190">
      <c r="A190" s="49" t="n">
        <v>45971.55685572917</v>
      </c>
      <c r="B190" t="inlineStr">
        <is>
          <t>GASTOS OPERATIVOS</t>
        </is>
      </c>
      <c r="E190" t="inlineStr">
        <is>
          <t>Promerica USD (40000003881774)</t>
        </is>
      </c>
      <c r="F190" t="inlineStr">
        <is>
          <t>Alejandra Arias Fallas</t>
        </is>
      </c>
      <c r="H190" s="50" t="n">
        <v>0</v>
      </c>
      <c r="I190" s="51" t="n">
        <v>-40.57</v>
      </c>
      <c r="J190" s="50" t="n">
        <v>508</v>
      </c>
      <c r="L190" t="inlineStr">
        <is>
          <t>Completado</t>
        </is>
      </c>
      <c r="P190" t="inlineStr">
        <is>
          <t>Importado v2.0</t>
        </is>
      </c>
      <c r="Q190" s="49" t="n">
        <v>45973.79666560185</v>
      </c>
    </row>
    <row r="191">
      <c r="A191" s="49" t="n">
        <v>45971.55685572917</v>
      </c>
      <c r="B191" t="inlineStr">
        <is>
          <t>GASTOS OPERATIVOS</t>
        </is>
      </c>
      <c r="E191" t="inlineStr">
        <is>
          <t>Promerica USD (40000003881774)</t>
        </is>
      </c>
      <c r="F191" t="inlineStr">
        <is>
          <t>Estacion Servicios NASA</t>
        </is>
      </c>
      <c r="H191" s="50" t="n">
        <v>0</v>
      </c>
      <c r="I191" s="51" t="n">
        <v>-9.130000000000001</v>
      </c>
      <c r="J191" s="50" t="n">
        <v>508</v>
      </c>
      <c r="L191" t="inlineStr">
        <is>
          <t>Completado</t>
        </is>
      </c>
      <c r="P191" t="inlineStr">
        <is>
          <t>Importado v2.0</t>
        </is>
      </c>
      <c r="Q191" s="49" t="n">
        <v>45973.79666560185</v>
      </c>
    </row>
    <row r="192">
      <c r="A192" s="49" t="n">
        <v>45971.55685572917</v>
      </c>
      <c r="B192" t="inlineStr">
        <is>
          <t>COMPRAS PARA REVENTA</t>
        </is>
      </c>
      <c r="E192" t="inlineStr">
        <is>
          <t>TC BNCR MC 8759</t>
        </is>
      </c>
      <c r="F192" t="inlineStr">
        <is>
          <t>Amazon Marketplace</t>
        </is>
      </c>
      <c r="H192" s="50" t="n">
        <v>0</v>
      </c>
      <c r="I192" s="51" t="n">
        <v>112.66</v>
      </c>
      <c r="J192" s="50" t="n">
        <v>508</v>
      </c>
      <c r="L192" t="inlineStr">
        <is>
          <t>Completado</t>
        </is>
      </c>
      <c r="P192" t="inlineStr">
        <is>
          <t>Importado v2.0</t>
        </is>
      </c>
      <c r="Q192" s="49" t="n">
        <v>45973.79666560185</v>
      </c>
    </row>
    <row r="193">
      <c r="A193" s="49" t="n">
        <v>45971.57400502315</v>
      </c>
      <c r="B193" t="inlineStr">
        <is>
          <t>TRANSFERENCIAS</t>
        </is>
      </c>
      <c r="E193" t="inlineStr">
        <is>
          <t>Promerica USD (40000003881774)</t>
        </is>
      </c>
      <c r="F193" t="inlineStr">
        <is>
          <t>Banco Promerica</t>
        </is>
      </c>
      <c r="H193" s="50" t="n">
        <v>0</v>
      </c>
      <c r="I193" s="51" t="n">
        <v>3121.51</v>
      </c>
      <c r="J193" s="50" t="n">
        <v>508</v>
      </c>
      <c r="L193" t="inlineStr">
        <is>
          <t>Completado</t>
        </is>
      </c>
      <c r="P193" t="inlineStr">
        <is>
          <t>Importado v2.0</t>
        </is>
      </c>
      <c r="Q193" s="49" t="n">
        <v>45973.79666560185</v>
      </c>
    </row>
    <row r="194">
      <c r="A194" s="49" t="n">
        <v>45971.57400502315</v>
      </c>
      <c r="B194" t="inlineStr">
        <is>
          <t>GASTOS OPERATIVOS</t>
        </is>
      </c>
      <c r="E194" t="inlineStr">
        <is>
          <t>Promerica USD (40000003881774)</t>
        </is>
      </c>
      <c r="F194" t="inlineStr">
        <is>
          <t>Banco Promerica</t>
        </is>
      </c>
      <c r="H194" s="50" t="n">
        <v>0</v>
      </c>
      <c r="I194" s="51" t="n">
        <v>-3</v>
      </c>
      <c r="J194" s="50" t="n">
        <v>508</v>
      </c>
      <c r="L194" t="inlineStr">
        <is>
          <t>Completado</t>
        </is>
      </c>
      <c r="P194" t="inlineStr">
        <is>
          <t>Importado v2.0</t>
        </is>
      </c>
      <c r="Q194" s="49" t="n">
        <v>45973.79666560185</v>
      </c>
    </row>
    <row r="195">
      <c r="A195" s="49" t="n">
        <v>45971.57400502315</v>
      </c>
      <c r="B195" t="inlineStr">
        <is>
          <t>TRANSFERENCIAS</t>
        </is>
      </c>
      <c r="E195" t="inlineStr">
        <is>
          <t>Promerica USD (40000003881774)</t>
        </is>
      </c>
      <c r="F195" t="inlineStr">
        <is>
          <t>BNCR</t>
        </is>
      </c>
      <c r="H195" s="50" t="n">
        <v>0</v>
      </c>
      <c r="I195" s="51" t="n">
        <v>-500</v>
      </c>
      <c r="J195" s="50" t="n">
        <v>508</v>
      </c>
      <c r="L195" t="inlineStr">
        <is>
          <t>Completado</t>
        </is>
      </c>
      <c r="P195" t="inlineStr">
        <is>
          <t>Importado v2.0</t>
        </is>
      </c>
      <c r="Q195" s="49" t="n">
        <v>45973.79666560185</v>
      </c>
    </row>
    <row r="196">
      <c r="A196" s="49" t="n">
        <v>45971.57400502315</v>
      </c>
      <c r="B196" t="inlineStr">
        <is>
          <t>GASTOS OPERATIVOS</t>
        </is>
      </c>
      <c r="E196" t="inlineStr">
        <is>
          <t>Promerica USD (40000003881774)</t>
        </is>
      </c>
      <c r="F196" t="inlineStr">
        <is>
          <t>Banco Promerica</t>
        </is>
      </c>
      <c r="H196" s="50" t="n">
        <v>0</v>
      </c>
      <c r="I196" s="51" t="n">
        <v>-3</v>
      </c>
      <c r="J196" s="50" t="n">
        <v>508</v>
      </c>
      <c r="L196" t="inlineStr">
        <is>
          <t>Completado</t>
        </is>
      </c>
      <c r="P196" t="inlineStr">
        <is>
          <t>Importado v2.0</t>
        </is>
      </c>
      <c r="Q196" s="49" t="n">
        <v>45973.79666560185</v>
      </c>
    </row>
    <row r="197">
      <c r="A197" s="49" t="n">
        <v>45971.57400502315</v>
      </c>
      <c r="B197" t="inlineStr">
        <is>
          <t>GASTOS FINANCIEROS</t>
        </is>
      </c>
      <c r="E197" t="inlineStr">
        <is>
          <t>Promerica USD (40000003881774)</t>
        </is>
      </c>
      <c r="F197" t="inlineStr">
        <is>
          <t>Banco BAC</t>
        </is>
      </c>
      <c r="H197" s="50" t="n">
        <v>0</v>
      </c>
      <c r="I197" s="51" t="n">
        <v>-305.5</v>
      </c>
      <c r="J197" s="50" t="n">
        <v>508</v>
      </c>
      <c r="L197" t="inlineStr">
        <is>
          <t>Completado</t>
        </is>
      </c>
      <c r="P197" t="inlineStr">
        <is>
          <t>Importado v2.0</t>
        </is>
      </c>
      <c r="Q197" s="49" t="n">
        <v>45973.79666560185</v>
      </c>
    </row>
    <row r="198">
      <c r="A198" s="49" t="n">
        <v>45971.57400502315</v>
      </c>
      <c r="B198" t="inlineStr">
        <is>
          <t>GASTOS OPERATIVOS</t>
        </is>
      </c>
      <c r="E198" t="inlineStr">
        <is>
          <t>Promerica USD (40000003881774)</t>
        </is>
      </c>
      <c r="F198" t="inlineStr">
        <is>
          <t>Banco Promerica</t>
        </is>
      </c>
      <c r="H198" s="50" t="n">
        <v>0</v>
      </c>
      <c r="I198" s="51" t="n">
        <v>-3</v>
      </c>
      <c r="J198" s="50" t="n">
        <v>508</v>
      </c>
      <c r="L198" t="inlineStr">
        <is>
          <t>Completado</t>
        </is>
      </c>
      <c r="P198" t="inlineStr">
        <is>
          <t>Importado v2.0</t>
        </is>
      </c>
      <c r="Q198" s="49" t="n">
        <v>45973.79666560185</v>
      </c>
    </row>
    <row r="199">
      <c r="A199" s="49" t="n">
        <v>45971.57400502315</v>
      </c>
      <c r="B199" t="inlineStr">
        <is>
          <t>GASTOS FINANCIEROS</t>
        </is>
      </c>
      <c r="E199" t="inlineStr">
        <is>
          <t>Promerica USD (40000003881774)</t>
        </is>
      </c>
      <c r="F199" t="inlineStr">
        <is>
          <t>Banco BAC</t>
        </is>
      </c>
      <c r="H199" s="50" t="n">
        <v>0</v>
      </c>
      <c r="I199" s="51" t="n">
        <v>-101.83</v>
      </c>
      <c r="J199" s="50" t="n">
        <v>508</v>
      </c>
      <c r="L199" t="inlineStr">
        <is>
          <t>Completado</t>
        </is>
      </c>
      <c r="P199" t="inlineStr">
        <is>
          <t>Importado v2.0</t>
        </is>
      </c>
      <c r="Q199" s="49" t="n">
        <v>45973.79666560185</v>
      </c>
    </row>
    <row r="200">
      <c r="A200" s="49" t="n">
        <v>45971.57400502315</v>
      </c>
      <c r="B200" t="inlineStr">
        <is>
          <t>GASTOS OPERATIVOS</t>
        </is>
      </c>
      <c r="E200" t="inlineStr">
        <is>
          <t>Promerica USD (40000003881774)</t>
        </is>
      </c>
      <c r="F200" t="inlineStr">
        <is>
          <t>Banco Promerica</t>
        </is>
      </c>
      <c r="H200" s="50" t="n">
        <v>0</v>
      </c>
      <c r="I200" s="51" t="n">
        <v>-3</v>
      </c>
      <c r="J200" s="50" t="n">
        <v>508</v>
      </c>
      <c r="L200" t="inlineStr">
        <is>
          <t>Completado</t>
        </is>
      </c>
      <c r="P200" t="inlineStr">
        <is>
          <t>Importado v2.0</t>
        </is>
      </c>
      <c r="Q200" s="49" t="n">
        <v>45973.79666560185</v>
      </c>
    </row>
    <row r="201">
      <c r="A201" s="49" t="n">
        <v>45971.57400502315</v>
      </c>
      <c r="B201" t="inlineStr">
        <is>
          <t>GASTOS OPERATIVOS</t>
        </is>
      </c>
      <c r="E201" t="inlineStr">
        <is>
          <t>Promerica USD (40000003881774)</t>
        </is>
      </c>
      <c r="F201" t="inlineStr">
        <is>
          <t>Proveedor Capacitacion</t>
        </is>
      </c>
      <c r="H201" s="50" t="n">
        <v>0</v>
      </c>
      <c r="I201" s="51" t="n">
        <v>-101.83</v>
      </c>
      <c r="J201" s="50" t="n">
        <v>508</v>
      </c>
      <c r="L201" t="inlineStr">
        <is>
          <t>Completado</t>
        </is>
      </c>
      <c r="P201" t="inlineStr">
        <is>
          <t>Importado v2.0</t>
        </is>
      </c>
      <c r="Q201" s="49" t="n">
        <v>45973.79666560185</v>
      </c>
    </row>
    <row r="202">
      <c r="A202" s="49" t="n">
        <v>45971.57400503472</v>
      </c>
      <c r="B202" t="inlineStr">
        <is>
          <t>GASTOS OPERATIVOS</t>
        </is>
      </c>
      <c r="E202" t="inlineStr">
        <is>
          <t>Promerica USD (40000003881774)</t>
        </is>
      </c>
      <c r="F202" t="inlineStr">
        <is>
          <t>Banco Promerica</t>
        </is>
      </c>
      <c r="H202" s="50" t="n">
        <v>0</v>
      </c>
      <c r="I202" s="51" t="n">
        <v>-0.75</v>
      </c>
      <c r="J202" s="50" t="n">
        <v>508</v>
      </c>
      <c r="L202" t="inlineStr">
        <is>
          <t>Completado</t>
        </is>
      </c>
      <c r="P202" t="inlineStr">
        <is>
          <t>Importado v2.0</t>
        </is>
      </c>
      <c r="Q202" s="49" t="n">
        <v>45973.79666560185</v>
      </c>
    </row>
    <row r="203">
      <c r="A203" s="49" t="n">
        <v>45971.57400503472</v>
      </c>
      <c r="B203" t="inlineStr">
        <is>
          <t>GASTOS OPERATIVOS</t>
        </is>
      </c>
      <c r="E203" t="inlineStr">
        <is>
          <t>Promerica USD (40000003881774)</t>
        </is>
      </c>
      <c r="F203" t="inlineStr">
        <is>
          <t>CarroFacil de Costa Rica</t>
        </is>
      </c>
      <c r="H203" s="50" t="n">
        <v>0</v>
      </c>
      <c r="I203" s="51" t="n">
        <v>-800</v>
      </c>
      <c r="J203" s="50" t="n">
        <v>508</v>
      </c>
      <c r="L203" t="inlineStr">
        <is>
          <t>Completado</t>
        </is>
      </c>
      <c r="P203" t="inlineStr">
        <is>
          <t>Importado v2.0</t>
        </is>
      </c>
      <c r="Q203" s="49" t="n">
        <v>45973.79666560185</v>
      </c>
    </row>
    <row r="204">
      <c r="A204" s="49" t="n">
        <v>45971.57400503472</v>
      </c>
      <c r="B204" t="inlineStr">
        <is>
          <t>GASTOS OPERATIVOS</t>
        </is>
      </c>
      <c r="E204" t="inlineStr">
        <is>
          <t>Promerica USD (40000003881774)</t>
        </is>
      </c>
      <c r="F204" t="inlineStr">
        <is>
          <t>Unopetrol Barreal</t>
        </is>
      </c>
      <c r="H204" s="50" t="n">
        <v>0</v>
      </c>
      <c r="I204" s="51" t="n">
        <v>-63.03</v>
      </c>
      <c r="J204" s="50" t="n">
        <v>508</v>
      </c>
      <c r="L204" t="inlineStr">
        <is>
          <t>Completado</t>
        </is>
      </c>
      <c r="P204" t="inlineStr">
        <is>
          <t>Importado v2.0</t>
        </is>
      </c>
      <c r="Q204" s="49" t="n">
        <v>45973.79666560185</v>
      </c>
    </row>
    <row r="205">
      <c r="A205" s="49" t="n">
        <v>45971.57400503472</v>
      </c>
      <c r="B205" t="inlineStr">
        <is>
          <t>GASTOS OPERATIVOS</t>
        </is>
      </c>
      <c r="E205" t="inlineStr">
        <is>
          <t>TC BNCR Visa 3519</t>
        </is>
      </c>
      <c r="F205" t="inlineStr">
        <is>
          <t>PayPal Uber BV</t>
        </is>
      </c>
      <c r="H205" s="50" t="n">
        <v>0</v>
      </c>
      <c r="I205" s="51" t="n">
        <v>7.26</v>
      </c>
      <c r="J205" s="50" t="n">
        <v>508</v>
      </c>
      <c r="L205" t="inlineStr">
        <is>
          <t>Completado</t>
        </is>
      </c>
      <c r="P205" t="inlineStr">
        <is>
          <t>Importado v2.0</t>
        </is>
      </c>
      <c r="Q205" s="49" t="n">
        <v>45973.79666560185</v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PERSONAL,GASTO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_xlfn._LONGTEXT("Ventas - Servicios Técnicos,Ventas - Hardware,Ventas - Software,Compras - Inventario,Salarios,Seguridad Social (CCSS),Alquiler,Servicios Públicos,Internet/Teléfono,Combustible,Mantenimiento,Papelería,Intereses - Tarjetas,Intereses - Préstamos,Intereses - ","Hacienda,IVA Cobrado,IVA Pagado,Transferencia entre cuentas,Otros")</formula1>
    </dataValidation>
    <dataValidation sqref="E2:E1000" showDropDown="0" showInputMessage="0" showErrorMessage="0" allowBlank="0" errorTitle="Cuenta inválida" error="Selecciona una cuenta válida de la lista" type="list">
      <formula1>_xlfn._LONGTEXT("BNCR CRC Ahorros (***8618),BNCR USD Ahorros (***1066),BNCR CRC Corriente (***2186),BNCR USD Corriente (***9589),BNCR USD Corriente (***1112),Promerica CRC SINPE (***1708),Promerica USD Ahorros (***1691),Promerica CRC CC Corp (***4229),Promerica USD CC Cor","p (***1774),BNCR VISA ***3519 (Alvaro),BNCR VISA ***9837 (Alvaro),BNCR VISA ***6386 (Alejandra),BNCR MC ***8759 (Alvaro),BAC VISA ***9550 (Alvaro)")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:I1"/>
    </sheetView>
  </sheetViews>
  <sheetFormatPr baseColWidth="8" defaultRowHeight="15"/>
  <cols>
    <col width="32" customWidth="1" style="36" min="1" max="1"/>
    <col width="20" customWidth="1" style="36" min="2" max="2"/>
    <col width="10" customWidth="1" style="36" min="3" max="3"/>
    <col width="8.7109375" bestFit="1" customWidth="1" style="36" min="4" max="4"/>
    <col width="13" customWidth="1" style="36" min="5" max="5"/>
    <col width="15.5703125" bestFit="1" customWidth="1" style="36" min="6" max="6"/>
    <col width="13" customWidth="1" style="36" min="7" max="8"/>
    <col width="15" customWidth="1" style="36" min="9" max="9"/>
  </cols>
  <sheetData>
    <row r="1" ht="18.75" customHeight="1" s="36">
      <c r="A1" s="35" t="inlineStr">
        <is>
          <t>CONTROL DE EFECTIVO, BANCOS Y TARJETAS DE CRÉDITO</t>
        </is>
      </c>
    </row>
    <row r="3" ht="15.75" customHeight="1" s="36">
      <c r="A3" s="38" t="inlineStr">
        <is>
          <t>🏦 CUENTAS BANCARIAS (ACTIVOS)</t>
        </is>
      </c>
    </row>
    <row r="4" ht="30" customHeight="1" s="36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46" t="n">
        <v>211.24</v>
      </c>
      <c r="F5" s="7" t="n">
        <v>0</v>
      </c>
      <c r="G5" s="7" t="n">
        <v>0</v>
      </c>
      <c r="H5" s="52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47" t="n">
        <v>1087.37</v>
      </c>
      <c r="F6" s="7" t="n">
        <v>0</v>
      </c>
      <c r="G6" s="7" t="n">
        <v>0</v>
      </c>
      <c r="H6" s="53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46" t="n">
        <v>28950.5</v>
      </c>
      <c r="F7" s="7" t="n">
        <v>0</v>
      </c>
      <c r="G7" s="7" t="n">
        <v>0</v>
      </c>
      <c r="H7" s="52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47" t="n">
        <v>0.43</v>
      </c>
      <c r="F8" s="7" t="n">
        <v>0</v>
      </c>
      <c r="G8" s="7" t="n">
        <v>0</v>
      </c>
      <c r="H8" s="53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47" t="n">
        <v>21.84</v>
      </c>
      <c r="F9" s="7" t="n">
        <v>0</v>
      </c>
      <c r="G9" s="7" t="n">
        <v>0</v>
      </c>
      <c r="H9" s="53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46" t="n">
        <v>1090</v>
      </c>
      <c r="F10" s="7" t="n">
        <v>0</v>
      </c>
      <c r="G10" s="7" t="n">
        <v>0</v>
      </c>
      <c r="H10" s="52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47" t="n">
        <v>0</v>
      </c>
      <c r="F11" s="7" t="n">
        <v>0</v>
      </c>
      <c r="G11" s="7" t="n">
        <v>0</v>
      </c>
      <c r="H11" s="53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46" t="n">
        <v>0</v>
      </c>
      <c r="F12" s="7" t="n">
        <v>0</v>
      </c>
      <c r="G12" s="7" t="n">
        <v>0</v>
      </c>
      <c r="H12" s="52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47" t="n">
        <v>2276.44</v>
      </c>
      <c r="F13" s="7" t="n">
        <v>0</v>
      </c>
      <c r="G13" s="7" t="n">
        <v>0</v>
      </c>
      <c r="H13" s="53">
        <f>E13+F13+G13</f>
        <v/>
      </c>
      <c r="I13" t="inlineStr">
        <is>
          <t>NEGOCIO</t>
        </is>
      </c>
    </row>
    <row r="14">
      <c r="A14" s="9" t="inlineStr">
        <is>
          <t>TOTAL BANCOS (USD equivalente)</t>
        </is>
      </c>
      <c r="E14" s="10">
        <f>SUMIF(D5:D13,"USD",E5:E13)+SUMIF(D5:D13,"CRC",E5:E13)/494</f>
        <v/>
      </c>
      <c r="F14" s="10">
        <f>SUM(F5:F13)</f>
        <v/>
      </c>
      <c r="G14" s="10">
        <f>SUM(G5:G13)</f>
        <v/>
      </c>
      <c r="H14" s="10">
        <f>SUM(H5:H13)</f>
        <v/>
      </c>
    </row>
    <row r="16" ht="15.75" customHeight="1" s="36">
      <c r="A16" s="39" t="inlineStr">
        <is>
          <t>💳 TARJETAS DE CRÉDITO (PASIVOS - DEUDAS)</t>
        </is>
      </c>
    </row>
    <row r="17" ht="30" customHeight="1" s="36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8" t="n">
        <v>3864.9</v>
      </c>
      <c r="D18" s="12" t="n">
        <v>0</v>
      </c>
      <c r="E18" s="13">
        <f>C18+(D18/494)</f>
        <v/>
      </c>
      <c r="F18" s="13" t="n">
        <v>0</v>
      </c>
      <c r="G18" s="13" t="n">
        <v>0</v>
      </c>
      <c r="H18" s="14">
        <f>E18+F18+G18</f>
        <v/>
      </c>
      <c r="I18" s="41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8" t="n">
        <v>3299.01</v>
      </c>
      <c r="D19" s="12" t="n">
        <v>0</v>
      </c>
      <c r="E19" s="13">
        <f>C19+(D19/494)</f>
        <v/>
      </c>
      <c r="F19" s="13" t="n">
        <v>0</v>
      </c>
      <c r="G19" s="13" t="n">
        <v>0</v>
      </c>
      <c r="H19" s="14">
        <f>E19+F19+G19</f>
        <v/>
      </c>
      <c r="I19" s="41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8" t="n">
        <v>5195.07</v>
      </c>
      <c r="D20" s="12" t="n">
        <v>0</v>
      </c>
      <c r="E20" s="13">
        <f>C20+(D20/494)</f>
        <v/>
      </c>
      <c r="F20" s="13" t="n">
        <v>0</v>
      </c>
      <c r="G20" s="13" t="n">
        <v>0</v>
      </c>
      <c r="H20" s="14">
        <f>E20+F20+G20</f>
        <v/>
      </c>
      <c r="I20" s="41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8" t="n">
        <v>0</v>
      </c>
      <c r="D21" s="12" t="n">
        <v>863830</v>
      </c>
      <c r="E21" s="13">
        <f>C21+(D21/494)</f>
        <v/>
      </c>
      <c r="F21" s="13" t="n">
        <v>0</v>
      </c>
      <c r="G21" s="13" t="n">
        <v>0</v>
      </c>
      <c r="H21" s="14">
        <f>E21+F21+G21</f>
        <v/>
      </c>
      <c r="I21" s="41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8" t="n">
        <v>2508.75</v>
      </c>
      <c r="D22" s="12" t="n">
        <v>0</v>
      </c>
      <c r="E22" s="13">
        <f>C22+(D22/494)</f>
        <v/>
      </c>
      <c r="F22" s="13" t="n">
        <v>0</v>
      </c>
      <c r="G22" s="13" t="n">
        <v>0</v>
      </c>
      <c r="H22" s="14">
        <f>E22+F22+G22</f>
        <v/>
      </c>
      <c r="I22" s="41" t="inlineStr">
        <is>
          <t>Pago mínimo × 1.5</t>
        </is>
      </c>
    </row>
    <row r="23">
      <c r="A23" s="16" t="inlineStr">
        <is>
          <t>TOTAL TARJETAS (PASIVOS)</t>
        </is>
      </c>
      <c r="C23" s="17">
        <f>SUM(C18:C22)</f>
        <v/>
      </c>
      <c r="D23" s="18">
        <f>SUM(D18:D22)</f>
        <v/>
      </c>
      <c r="E23" s="17">
        <f>SUM(E18:E22)</f>
        <v/>
      </c>
      <c r="F23" s="17">
        <f>SUM(F18:F22)</f>
        <v/>
      </c>
      <c r="G23" s="17">
        <f>SUM(G18:G22)</f>
        <v/>
      </c>
      <c r="H23" s="17">
        <f>SUM(H18:H22)</f>
        <v/>
      </c>
    </row>
    <row r="25" ht="21" customHeight="1" s="36">
      <c r="A25" s="37" t="inlineStr">
        <is>
          <t>💰 EFECTIVO NETO (Bancos - Tarjetas)</t>
        </is>
      </c>
      <c r="F25" s="19">
        <f>H14-H23</f>
        <v/>
      </c>
    </row>
    <row r="27">
      <c r="A27" s="9" t="inlineStr">
        <is>
          <t>💡 NOTAS:</t>
        </is>
      </c>
    </row>
    <row r="28">
      <c r="A28" s="41" t="inlineStr">
        <is>
          <t>• Saldos al 12 de Noviembre 2025</t>
        </is>
      </c>
    </row>
    <row r="29">
      <c r="A29" s="41" t="inlineStr">
        <is>
          <t>• Columnas 'Ingresos', 'Egresos', 'Pagos' y 'Cargos' se conectarán automáticamente a TRANSACCIONES</t>
        </is>
      </c>
    </row>
    <row r="30">
      <c r="A30" s="41" t="inlineStr">
        <is>
          <t>• Tipo de cambio usado para conversión: TC Compra ₡494.00 por $1 USD (12/Nov/2025)</t>
        </is>
      </c>
    </row>
    <row r="31">
      <c r="A31" s="20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style="36" min="2" max="2"/>
    <col width="18" customWidth="1" style="36" min="3" max="4"/>
    <col width="20" customWidth="1" style="36" min="5" max="5"/>
    <col width="15" customWidth="1" style="36" min="6" max="6"/>
  </cols>
  <sheetData>
    <row r="2" ht="21" customHeight="1" s="36">
      <c r="B2" s="40" t="inlineStr">
        <is>
          <t>DASHBOARD FINANCIERO</t>
        </is>
      </c>
    </row>
    <row r="3">
      <c r="B3" t="inlineStr">
        <is>
          <t>Última actualización:</t>
        </is>
      </c>
      <c r="C3" s="21">
        <f>NOW()</f>
        <v/>
      </c>
    </row>
    <row r="5" ht="15.75" customHeight="1" s="36">
      <c r="B5" s="38" t="inlineStr">
        <is>
          <t>💰 EFECTIVO DISPONIBLE</t>
        </is>
      </c>
      <c r="E5" s="39" t="inlineStr">
        <is>
          <t>🚨 ALERTAS CRÍTICAS</t>
        </is>
      </c>
    </row>
    <row r="6" ht="18.75" customHeight="1" s="36">
      <c r="B6" t="inlineStr">
        <is>
          <t>Total Efectivo (USD):</t>
        </is>
      </c>
      <c r="C6" s="54">
        <f>EFECTIVO!G13</f>
        <v/>
      </c>
      <c r="E6" t="inlineStr">
        <is>
          <t>Duplicados:</t>
        </is>
      </c>
      <c r="F6" s="23">
        <f>COUNTIF(TRANSACCIONES!S:S, "⚠️ POSIBLE DUPLICADO")</f>
        <v/>
      </c>
    </row>
    <row r="7">
      <c r="E7" t="inlineStr">
        <is>
          <t>Pendientes:</t>
        </is>
      </c>
      <c r="F7" s="24">
        <f>COUNTIF(TRANSACCIONES!L:L, "PENDIENTE")</f>
        <v/>
      </c>
    </row>
    <row r="8" ht="15.75" customHeight="1" s="36">
      <c r="B8" s="38" t="inlineStr">
        <is>
          <t>⏱️ DÍAS DE COBERTURA</t>
        </is>
      </c>
      <c r="E8" t="inlineStr">
        <is>
          <t>Sin categoría:</t>
        </is>
      </c>
      <c r="F8" s="9">
        <f>COUNTBLANK(TRANSACCIONES!C:C) - 1</f>
        <v/>
      </c>
    </row>
    <row r="9">
      <c r="B9" t="inlineStr">
        <is>
          <t>Gasto Diario Promedio:</t>
        </is>
      </c>
      <c r="C9" s="51">
        <f>SUMIFS(TRANSACCIONES!I:I, TRANSACCIONES!B:B, "GASTO OPERATIVO", TRANSACCIONES!L:L, "COMPLETADA") / 30</f>
        <v/>
      </c>
    </row>
    <row r="10" ht="18.75" customHeight="1" s="36">
      <c r="B10" t="inlineStr">
        <is>
          <t>Días de Cobertura:</t>
        </is>
      </c>
      <c r="C10" s="55">
        <f>IF(C9&gt;0, C6/C9, 0)</f>
        <v/>
      </c>
      <c r="D10" s="44">
        <f>IF(C10&lt;15, "🚨 CRÍTICO", IF(C10&lt;30, "⚠️ PRECAUCIÓN", "✅ SALUDABLE"))</f>
        <v/>
      </c>
    </row>
    <row r="12" ht="15.75" customHeight="1" s="36">
      <c r="B12" s="38" t="inlineStr">
        <is>
          <t>🏆 TOP 5 CLIENTES (Noviembre)</t>
        </is>
      </c>
    </row>
    <row r="13">
      <c r="B13" s="1" t="inlineStr">
        <is>
          <t>Cliente</t>
        </is>
      </c>
      <c r="C13" s="56" t="inlineStr">
        <is>
          <t>Facturado USD</t>
        </is>
      </c>
    </row>
    <row r="14">
      <c r="B14" t="inlineStr">
        <is>
          <t>Grupo Acción Comercial S.A.</t>
        </is>
      </c>
      <c r="C14" s="51" t="n">
        <v>1689.04</v>
      </c>
    </row>
    <row r="15">
      <c r="B15" t="inlineStr">
        <is>
          <t>VWR International Ltda</t>
        </is>
      </c>
      <c r="C15" s="51" t="n">
        <v>1400</v>
      </c>
    </row>
    <row r="16">
      <c r="B16" t="inlineStr">
        <is>
          <t>Alfipac (Almacén Fiscal Pacífico)</t>
        </is>
      </c>
      <c r="C16" s="51" t="n">
        <v>761.05</v>
      </c>
    </row>
    <row r="17">
      <c r="B17" t="inlineStr">
        <is>
          <t>3-102-887892 SRL</t>
        </is>
      </c>
      <c r="C17" s="51" t="n">
        <v>691.5599999999999</v>
      </c>
    </row>
    <row r="18">
      <c r="B18" t="inlineStr">
        <is>
          <t>Waipio S.A.</t>
        </is>
      </c>
      <c r="C18" s="51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J1"/>
    </sheetView>
  </sheetViews>
  <sheetFormatPr baseColWidth="8" defaultRowHeight="15"/>
  <cols>
    <col width="12" customWidth="1" style="36" min="1" max="1"/>
    <col width="35" customWidth="1" style="36" min="2" max="2"/>
    <col width="25" customWidth="1" style="36" min="3" max="7"/>
    <col width="15" customWidth="1" style="36" min="8" max="8"/>
    <col width="30" customWidth="1" style="36" min="9" max="9"/>
    <col width="15" customWidth="1" style="36" min="10" max="10"/>
  </cols>
  <sheetData>
    <row r="1" ht="18.75" customHeight="1" s="36">
      <c r="A1" s="35" t="inlineStr">
        <is>
          <t>SISTEMA DE NORMALIZACIÓN DE ENTIDADES</t>
        </is>
      </c>
    </row>
    <row r="2">
      <c r="A2" s="41" t="inlineStr">
        <is>
          <t>💡 Esta hoja permite normalizar nombres de clientes, proveedores y bancos que aparecen con variaciones</t>
        </is>
      </c>
    </row>
    <row r="4" ht="30" customHeight="1" s="36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2" t="inlineStr">
        <is>
          <t>Grupo Acción Comercial</t>
        </is>
      </c>
      <c r="D5" s="2" t="inlineStr">
        <is>
          <t>GACS</t>
        </is>
      </c>
      <c r="E5" s="2" t="n"/>
      <c r="F5" s="2" t="n"/>
      <c r="G5" s="2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2" t="inlineStr">
        <is>
          <t>VWR International</t>
        </is>
      </c>
      <c r="D6" s="2" t="inlineStr">
        <is>
          <t>IL</t>
        </is>
      </c>
      <c r="E6" s="2" t="n"/>
      <c r="F6" s="2" t="n"/>
      <c r="G6" s="2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2" t="n"/>
      <c r="D7" s="2" t="inlineStr">
        <is>
          <t>A(FP</t>
        </is>
      </c>
      <c r="E7" s="2" t="n"/>
      <c r="F7" s="2" t="n"/>
      <c r="G7" s="2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2" t="n"/>
      <c r="D8" s="2" t="n"/>
      <c r="E8" s="2" t="n"/>
      <c r="F8" s="2" t="n"/>
      <c r="G8" s="2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2" t="inlineStr">
        <is>
          <t>Waipio</t>
        </is>
      </c>
      <c r="D9" s="2" t="n"/>
      <c r="E9" s="2" t="n"/>
      <c r="F9" s="2" t="n"/>
      <c r="G9" s="2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2" t="n"/>
      <c r="D10" s="2" t="inlineStr">
        <is>
          <t>CIO</t>
        </is>
      </c>
      <c r="E10" s="2" t="n"/>
      <c r="F10" s="2" t="n"/>
      <c r="G10" s="2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2" t="n"/>
      <c r="D11" s="2" t="inlineStr">
        <is>
          <t>OC</t>
        </is>
      </c>
      <c r="E11" s="2" t="n"/>
      <c r="F11" s="2" t="n"/>
      <c r="G11" s="2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2" t="inlineStr">
        <is>
          <t>Global Automotriz GACR</t>
        </is>
      </c>
      <c r="D12" s="2" t="inlineStr">
        <is>
          <t>GAGS</t>
        </is>
      </c>
      <c r="E12" s="2" t="n"/>
      <c r="F12" s="2" t="n"/>
      <c r="G12" s="2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2" t="n"/>
      <c r="D13" s="2" t="n"/>
      <c r="E13" s="2" t="n"/>
      <c r="F13" s="2" t="n"/>
      <c r="G13" s="2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2" t="n"/>
      <c r="D14" s="2" t="n"/>
      <c r="E14" s="2" t="n"/>
      <c r="F14" s="2" t="n"/>
      <c r="G14" s="2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2" t="n"/>
      <c r="D15" s="2" t="inlineStr">
        <is>
          <t>A(AC</t>
        </is>
      </c>
      <c r="E15" s="2" t="n"/>
      <c r="F15" s="2" t="n"/>
      <c r="G15" s="2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2" t="n"/>
      <c r="D16" s="2" t="inlineStr">
        <is>
          <t>RRCH</t>
        </is>
      </c>
      <c r="E16" s="2" t="n"/>
      <c r="F16" s="2" t="n"/>
      <c r="G16" s="2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2" t="inlineStr">
        <is>
          <t>Supply Net C.R.W.H</t>
        </is>
      </c>
      <c r="D17" s="2" t="inlineStr">
        <is>
          <t>SCS</t>
        </is>
      </c>
      <c r="E17" s="2" t="n"/>
      <c r="F17" s="2" t="n"/>
      <c r="G17" s="2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2" t="n"/>
      <c r="D18" s="2" t="inlineStr">
        <is>
          <t>OMTM</t>
        </is>
      </c>
      <c r="E18" s="2" t="n"/>
      <c r="F18" s="2" t="n"/>
      <c r="G18" s="2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2" t="inlineStr">
        <is>
          <t>Gentra de Costa Rica</t>
        </is>
      </c>
      <c r="D19" s="2" t="inlineStr">
        <is>
          <t>GCRS</t>
        </is>
      </c>
      <c r="E19" s="2" t="n"/>
      <c r="F19" s="2" t="n"/>
      <c r="G19" s="2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2" t="n"/>
      <c r="D20" s="2" t="inlineStr">
        <is>
          <t>SNE</t>
        </is>
      </c>
      <c r="E20" s="2" t="n"/>
      <c r="F20" s="2" t="n"/>
      <c r="G20" s="2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2" t="n"/>
      <c r="D21" s="2" t="inlineStr">
        <is>
          <t>GAEL</t>
        </is>
      </c>
      <c r="E21" s="2" t="n"/>
      <c r="F21" s="2" t="n"/>
      <c r="G21" s="2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2" t="n"/>
      <c r="D22" s="2" t="inlineStr">
        <is>
          <t>MMM</t>
        </is>
      </c>
      <c r="E22" s="2" t="n"/>
      <c r="F22" s="2" t="n"/>
      <c r="G22" s="2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2" t="inlineStr">
        <is>
          <t>Bandogo Soluciones Tecnológicas</t>
        </is>
      </c>
      <c r="D23" s="2" t="inlineStr">
        <is>
          <t>BSTS</t>
        </is>
      </c>
      <c r="E23" s="2" t="n"/>
      <c r="F23" s="2" t="n"/>
      <c r="G23" s="2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2" t="inlineStr">
        <is>
          <t>CPF Servicios Radiológicos</t>
        </is>
      </c>
      <c r="D24" s="2" t="inlineStr">
        <is>
          <t>SRS</t>
        </is>
      </c>
      <c r="E24" s="2" t="n"/>
      <c r="F24" s="2" t="n"/>
      <c r="G24" s="2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2" t="inlineStr">
        <is>
          <t>Ortodec</t>
        </is>
      </c>
      <c r="D25" s="2" t="n"/>
      <c r="E25" s="2" t="n"/>
      <c r="F25" s="2" t="n"/>
      <c r="G25" s="2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2" t="n"/>
      <c r="D26" s="2" t="inlineStr">
        <is>
          <t>PMF</t>
        </is>
      </c>
      <c r="E26" s="2" t="n"/>
      <c r="F26" s="2" t="n"/>
      <c r="G26" s="2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2" t="n"/>
      <c r="D27" s="2" t="n"/>
      <c r="E27" s="2" t="n"/>
      <c r="F27" s="2" t="n"/>
      <c r="G27" s="2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2" t="n"/>
      <c r="D28" s="2" t="n"/>
      <c r="E28" s="2" t="n"/>
      <c r="F28" s="2" t="n"/>
      <c r="G28" s="2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2" t="n"/>
      <c r="D29" s="2" t="n"/>
      <c r="E29" s="2" t="n"/>
      <c r="F29" s="2" t="n"/>
      <c r="G29" s="2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2" t="n"/>
      <c r="D30" s="2" t="n"/>
      <c r="E30" s="2" t="n"/>
      <c r="F30" s="2" t="n"/>
      <c r="G30" s="2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2" t="n"/>
      <c r="D31" s="2" t="n"/>
      <c r="E31" s="2" t="n"/>
      <c r="F31" s="2" t="n"/>
      <c r="G31" s="2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2" t="n"/>
      <c r="D32" s="2" t="n"/>
      <c r="E32" s="2" t="n"/>
      <c r="F32" s="2" t="n"/>
      <c r="G32" s="2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2" t="n"/>
      <c r="D33" s="2" t="n"/>
      <c r="E33" s="2" t="n"/>
      <c r="F33" s="2" t="n"/>
      <c r="G33" s="2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2" t="n"/>
      <c r="D34" s="2" t="n"/>
      <c r="E34" s="2" t="n"/>
      <c r="F34" s="2" t="n"/>
      <c r="G34" s="2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2" t="n"/>
      <c r="D35" s="2" t="n"/>
      <c r="E35" s="2" t="n"/>
      <c r="F35" s="2" t="n"/>
      <c r="G35" s="2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2" t="n"/>
      <c r="D36" s="2" t="n"/>
      <c r="E36" s="2" t="n"/>
      <c r="F36" s="2" t="n"/>
      <c r="G36" s="2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2" t="n"/>
      <c r="D37" s="2" t="n"/>
      <c r="E37" s="2" t="n"/>
      <c r="F37" s="2" t="n"/>
      <c r="G37" s="2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2" t="n"/>
      <c r="D38" s="2" t="n"/>
      <c r="E38" s="2" t="n"/>
      <c r="F38" s="2" t="n"/>
      <c r="G38" s="2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2" t="n"/>
      <c r="D39" s="2" t="n"/>
      <c r="E39" s="2" t="n"/>
      <c r="F39" s="2" t="n"/>
      <c r="G39" s="2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2" t="n"/>
      <c r="D40" s="2" t="n"/>
      <c r="E40" s="2" t="n"/>
      <c r="F40" s="2" t="n"/>
      <c r="G40" s="2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9" t="inlineStr">
        <is>
          <t>📋 INSTRUCCIONES:</t>
        </is>
      </c>
    </row>
    <row r="44">
      <c r="A44" s="41" t="inlineStr">
        <is>
          <t>1. Cuando aparezca una variación de nombre, agrégala como 'Alias' en la fila correspondiente</t>
        </is>
      </c>
    </row>
    <row r="45">
      <c r="A45" s="41" t="inlineStr">
        <is>
          <t>2. Ejecuta: python scripts/normalizar_entidades_universal_v3.py</t>
        </is>
      </c>
    </row>
    <row r="46">
      <c r="A46" s="41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D1"/>
    </sheetView>
  </sheetViews>
  <sheetFormatPr baseColWidth="8" defaultRowHeight="15"/>
  <cols>
    <col width="25" customWidth="1" style="36" min="1" max="1"/>
    <col width="15" customWidth="1" style="36" min="2" max="2"/>
    <col width="20" customWidth="1" style="36" min="3" max="3"/>
    <col width="25" customWidth="1" style="36" min="4" max="4"/>
    <col width="12" customWidth="1" style="36" min="5" max="5"/>
    <col width="15" customWidth="1" style="36" min="6" max="6"/>
  </cols>
  <sheetData>
    <row r="1" ht="18.75" customHeight="1" s="36">
      <c r="A1" s="37" t="inlineStr">
        <is>
          <t>CONFIGURACIÓN DEL SISTEMA</t>
        </is>
      </c>
    </row>
    <row r="3" ht="15.75" customHeight="1" s="36">
      <c r="A3" s="38" t="inlineStr">
        <is>
          <t>📋 INFORMACIÓN GENERAL</t>
        </is>
      </c>
    </row>
    <row r="4">
      <c r="A4" s="9" t="inlineStr">
        <is>
          <t>Versión</t>
        </is>
      </c>
      <c r="B4" t="inlineStr">
        <is>
          <t>3.0.0 MVP</t>
        </is>
      </c>
    </row>
    <row r="5">
      <c r="A5" s="9" t="inlineStr">
        <is>
          <t>Fecha Creación</t>
        </is>
      </c>
      <c r="B5" t="inlineStr">
        <is>
          <t>13/11/2025 00:54</t>
        </is>
      </c>
    </row>
    <row r="6">
      <c r="A6" s="9" t="inlineStr">
        <is>
          <t>Propietario</t>
        </is>
      </c>
      <c r="B6" t="inlineStr">
        <is>
          <t>Alvaro Velasco - AVN (AlvaroVelascoNet)</t>
        </is>
      </c>
    </row>
    <row r="7">
      <c r="A7" s="9" t="inlineStr">
        <is>
          <t>Período Fiscal</t>
        </is>
      </c>
      <c r="B7" t="inlineStr">
        <is>
          <t>2025</t>
        </is>
      </c>
    </row>
    <row r="8">
      <c r="A8" s="9" t="inlineStr">
        <is>
          <t>Mes Activo</t>
        </is>
      </c>
      <c r="B8" s="2" t="inlineStr">
        <is>
          <t>Noviembre 2025</t>
        </is>
      </c>
    </row>
    <row r="10" ht="15.75" customHeight="1" s="36">
      <c r="A10" s="4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9" t="inlineStr">
        <is>
          <t>TC Compra</t>
        </is>
      </c>
      <c r="B12" s="6" t="n">
        <v>494</v>
      </c>
      <c r="C12" s="2" t="inlineStr">
        <is>
          <t>13/11/2025 00:54</t>
        </is>
      </c>
      <c r="D12" t="inlineStr">
        <is>
          <t>Banco compra dólares (tú vendes USD)</t>
        </is>
      </c>
    </row>
    <row r="13">
      <c r="A13" s="9" t="inlineStr">
        <is>
          <t>TC Venta</t>
        </is>
      </c>
      <c r="B13" s="6" t="n">
        <v>508</v>
      </c>
      <c r="C13" s="2" t="inlineStr">
        <is>
          <t>13/11/2025 00:54</t>
        </is>
      </c>
      <c r="D13" t="inlineStr">
        <is>
          <t>Banco vende dólares (tú compras USD)</t>
        </is>
      </c>
    </row>
    <row r="15">
      <c r="A15" s="44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27" t="n">
        <v>494</v>
      </c>
      <c r="C17" s="27" t="n">
        <v>508</v>
      </c>
      <c r="D17" s="28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2" t="n"/>
      <c r="B18" s="2" t="n"/>
      <c r="C18" s="2" t="n"/>
      <c r="D18" s="28">
        <f>IF(B18&lt;&gt;"", (B18+C18)/2, "")</f>
        <v/>
      </c>
      <c r="E18" s="57">
        <f>IF(D18&lt;&gt;"", IF(D17&lt;&gt;"", (D18-D17)/D17*100, 0), "")</f>
        <v/>
      </c>
      <c r="F18" s="2" t="n"/>
    </row>
    <row r="19">
      <c r="A19" s="2" t="n"/>
      <c r="B19" s="2" t="n"/>
      <c r="C19" s="2" t="n"/>
      <c r="D19" s="28">
        <f>IF(B19&lt;&gt;"", (B19+C19)/2, "")</f>
        <v/>
      </c>
      <c r="E19" s="57">
        <f>IF(D19&lt;&gt;"", IF(D18&lt;&gt;"", (D19-D18)/D18*100, 0), "")</f>
        <v/>
      </c>
      <c r="F19" s="2" t="n"/>
    </row>
    <row r="20">
      <c r="A20" s="2" t="n"/>
      <c r="B20" s="2" t="n"/>
      <c r="C20" s="2" t="n"/>
      <c r="D20" s="28">
        <f>IF(B20&lt;&gt;"", (B20+C20)/2, "")</f>
        <v/>
      </c>
      <c r="E20" s="57">
        <f>IF(D20&lt;&gt;"", IF(D19&lt;&gt;"", (D20-D19)/D19*100, 0), "")</f>
        <v/>
      </c>
      <c r="F20" s="2" t="n"/>
    </row>
    <row r="21">
      <c r="A21" s="2" t="n"/>
      <c r="B21" s="2" t="n"/>
      <c r="C21" s="2" t="n"/>
      <c r="D21" s="28">
        <f>IF(B21&lt;&gt;"", (B21+C21)/2, "")</f>
        <v/>
      </c>
      <c r="E21" s="57">
        <f>IF(D21&lt;&gt;"", IF(D20&lt;&gt;"", (D21-D20)/D20*100, 0), "")</f>
        <v/>
      </c>
      <c r="F21" s="2" t="n"/>
    </row>
    <row r="22">
      <c r="A22" s="2" t="n"/>
      <c r="B22" s="2" t="n"/>
      <c r="C22" s="2" t="n"/>
      <c r="D22" s="28">
        <f>IF(B22&lt;&gt;"", (B22+C22)/2, "")</f>
        <v/>
      </c>
      <c r="E22" s="57">
        <f>IF(D22&lt;&gt;"", IF(D21&lt;&gt;"", (D22-D21)/D21*100, 0), "")</f>
        <v/>
      </c>
      <c r="F22" s="2" t="n"/>
    </row>
    <row r="24">
      <c r="A24" s="42" t="inlineStr">
        <is>
          <t>📝 INSTRUCCIONES PARA ACTUALIZAR TC:</t>
        </is>
      </c>
    </row>
    <row r="25">
      <c r="A25" s="41" t="inlineStr">
        <is>
          <t>1. Actualiza TC Compra y TC Venta cada semana (o cuando hagas cambio de moneda)</t>
        </is>
      </c>
    </row>
    <row r="26">
      <c r="A26" s="41" t="inlineStr">
        <is>
          <t>2. Actualiza la fecha en 'Última Actualización'</t>
        </is>
      </c>
    </row>
    <row r="27">
      <c r="A27" s="41" t="inlineStr">
        <is>
          <t>3. Registra el cambio en el HISTORIAL para auditoría</t>
        </is>
      </c>
    </row>
    <row r="28">
      <c r="A28" s="41" t="inlineStr">
        <is>
          <t>4. Usa TC Compra cuando VENDES dólares (USD → CRC)</t>
        </is>
      </c>
    </row>
    <row r="29">
      <c r="A29" s="41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0" customWidth="1" style="36" min="1" max="1"/>
    <col width="12" customWidth="1" style="36" min="2" max="2"/>
    <col width="30" customWidth="1" style="36" min="3" max="3"/>
    <col width="14" customWidth="1" style="36" min="4" max="4"/>
    <col width="14" customWidth="1" style="36" min="5" max="5"/>
    <col width="14" customWidth="1" style="36" min="6" max="6"/>
    <col width="10" customWidth="1" style="36" min="7" max="7"/>
    <col width="12" customWidth="1" style="36" min="8" max="8"/>
    <col width="14" customWidth="1" style="36" min="9" max="9"/>
    <col width="10" customWidth="1" style="36" min="10" max="10"/>
    <col width="10" customWidth="1" style="36" min="11" max="11"/>
    <col width="20" customWidth="1" style="36" min="12" max="12"/>
  </cols>
  <sheetData>
    <row r="1">
      <c r="A1" s="58" t="inlineStr">
        <is>
          <t>CONTROL DE IVA - COSTA RICA</t>
        </is>
      </c>
    </row>
    <row r="2">
      <c r="A2" s="65" t="inlineStr">
        <is>
          <t>Período: NOVIEMBRE 2025 | Vencimiento D-104: 26/Nov/2025</t>
        </is>
      </c>
    </row>
    <row r="4">
      <c r="A4" s="66" t="inlineStr">
        <is>
          <t>VENTAS - IVA COBRADO (13%)</t>
        </is>
      </c>
    </row>
    <row r="5">
      <c r="A5" s="59" t="inlineStr">
        <is>
          <t>Fecha</t>
        </is>
      </c>
      <c r="B5" s="59" t="inlineStr">
        <is>
          <t>Factura</t>
        </is>
      </c>
      <c r="C5" s="59" t="inlineStr">
        <is>
          <t>Cliente</t>
        </is>
      </c>
      <c r="D5" s="59" t="inlineStr">
        <is>
          <t>Base Gravable USD</t>
        </is>
      </c>
      <c r="E5" s="59" t="inlineStr">
        <is>
          <t>IVA 13% USD</t>
        </is>
      </c>
      <c r="F5" s="59" t="inlineStr">
        <is>
          <t>Total USD</t>
        </is>
      </c>
      <c r="G5" s="59" t="inlineStr">
        <is>
          <t>Zona Franca</t>
        </is>
      </c>
      <c r="H5" s="59" t="inlineStr">
        <is>
          <t>Retención 2%</t>
        </is>
      </c>
      <c r="I5" s="59" t="inlineStr">
        <is>
          <t>Neto Cobrado</t>
        </is>
      </c>
      <c r="J5" s="59" t="inlineStr">
        <is>
          <t>Estado</t>
        </is>
      </c>
      <c r="K5" s="59" t="inlineStr">
        <is>
          <t>Ref Trans</t>
        </is>
      </c>
      <c r="L5" s="59" t="inlineStr">
        <is>
          <t>Notas</t>
        </is>
      </c>
    </row>
    <row r="6">
      <c r="A6" s="49" t="n">
        <v>45970.96726364583</v>
      </c>
      <c r="B6" t="inlineStr">
        <is>
          <t>T-41</t>
        </is>
      </c>
      <c r="C6" t="inlineStr">
        <is>
          <t>CPF SERVICIOS RADIOLÓGICOS</t>
        </is>
      </c>
      <c r="D6" s="67" t="n">
        <v>56.5</v>
      </c>
      <c r="E6" s="68">
        <f>D6*0.13</f>
        <v/>
      </c>
      <c r="F6" s="68">
        <f>D6+E6</f>
        <v/>
      </c>
      <c r="G6" s="69" t="inlineStr">
        <is>
          <t>NO</t>
        </is>
      </c>
      <c r="H6" s="68">
        <f>IF(G6="SI",0,D6*0.02)</f>
        <v/>
      </c>
      <c r="I6" s="68">
        <f>F6-H6</f>
        <v/>
      </c>
      <c r="J6" t="inlineStr">
        <is>
          <t>EMITIDA</t>
        </is>
      </c>
      <c r="K6" t="n">
        <v>41</v>
      </c>
    </row>
    <row r="7">
      <c r="A7" s="49" t="n">
        <v>45970.96726364583</v>
      </c>
      <c r="B7" t="inlineStr">
        <is>
          <t>T-42</t>
        </is>
      </c>
      <c r="C7" t="inlineStr">
        <is>
          <t>ORTODEC S.A.</t>
        </is>
      </c>
      <c r="D7" s="67" t="n">
        <v>56.5</v>
      </c>
      <c r="E7" s="68">
        <f>D7*0.13</f>
        <v/>
      </c>
      <c r="F7" s="68">
        <f>D7+E7</f>
        <v/>
      </c>
      <c r="G7" s="69" t="inlineStr">
        <is>
          <t>NO</t>
        </is>
      </c>
      <c r="H7" s="68">
        <f>IF(G7="SI",0,D7*0.02)</f>
        <v/>
      </c>
      <c r="I7" s="68">
        <f>F7-H7</f>
        <v/>
      </c>
      <c r="J7" t="inlineStr">
        <is>
          <t>EMITIDA</t>
        </is>
      </c>
      <c r="K7" t="n">
        <v>42</v>
      </c>
    </row>
    <row r="8">
      <c r="A8" s="49" t="n">
        <v>45970.96726364583</v>
      </c>
      <c r="B8" t="inlineStr">
        <is>
          <t>T-43</t>
        </is>
      </c>
      <c r="C8" t="inlineStr">
        <is>
          <t>ORTODONCIA DE LA CRUZ</t>
        </is>
      </c>
      <c r="D8" s="67" t="n">
        <v>356.5</v>
      </c>
      <c r="E8" s="68">
        <f>D8*0.13</f>
        <v/>
      </c>
      <c r="F8" s="68">
        <f>D8+E8</f>
        <v/>
      </c>
      <c r="G8" s="69" t="inlineStr">
        <is>
          <t>NO</t>
        </is>
      </c>
      <c r="H8" s="68">
        <f>IF(G8="SI",0,D8*0.02)</f>
        <v/>
      </c>
      <c r="I8" s="68">
        <f>F8-H8</f>
        <v/>
      </c>
      <c r="J8" t="inlineStr">
        <is>
          <t>EMITIDA</t>
        </is>
      </c>
      <c r="K8" t="n">
        <v>43</v>
      </c>
    </row>
    <row r="9">
      <c r="A9" s="49" t="n">
        <v>45970.96726364583</v>
      </c>
      <c r="B9" t="inlineStr">
        <is>
          <t>T-44</t>
        </is>
      </c>
      <c r="C9" t="inlineStr">
        <is>
          <t>SMART WEB SERVICES</t>
        </is>
      </c>
      <c r="D9" s="67" t="n">
        <v>1237.35</v>
      </c>
      <c r="E9" s="68">
        <f>D9*0.13</f>
        <v/>
      </c>
      <c r="F9" s="68">
        <f>D9+E9</f>
        <v/>
      </c>
      <c r="G9" s="69" t="inlineStr">
        <is>
          <t>NO</t>
        </is>
      </c>
      <c r="H9" s="68">
        <f>IF(G9="SI",0,D9*0.02)</f>
        <v/>
      </c>
      <c r="I9" s="68">
        <f>F9-H9</f>
        <v/>
      </c>
      <c r="J9" t="inlineStr">
        <is>
          <t>EMITIDA</t>
        </is>
      </c>
      <c r="K9" t="n">
        <v>44</v>
      </c>
    </row>
    <row r="10">
      <c r="A10" s="49" t="n">
        <v>45970.96726365741</v>
      </c>
      <c r="B10" t="inlineStr">
        <is>
          <t>T-53</t>
        </is>
      </c>
      <c r="C10" t="inlineStr">
        <is>
          <t>GRUPO PORCINAS DE LA COSTA</t>
        </is>
      </c>
      <c r="D10" s="67" t="n">
        <v>1171.18</v>
      </c>
      <c r="E10" s="68">
        <f>D10*0.13</f>
        <v/>
      </c>
      <c r="F10" s="68">
        <f>D10+E10</f>
        <v/>
      </c>
      <c r="G10" s="69" t="inlineStr">
        <is>
          <t>NO</t>
        </is>
      </c>
      <c r="H10" s="68">
        <f>IF(G10="SI",0,D10*0.02)</f>
        <v/>
      </c>
      <c r="I10" s="68">
        <f>F10-H10</f>
        <v/>
      </c>
      <c r="J10" t="inlineStr">
        <is>
          <t>EMITIDA</t>
        </is>
      </c>
      <c r="K10" t="n">
        <v>53</v>
      </c>
    </row>
    <row r="11">
      <c r="A11" s="49" t="n">
        <v>45970.96726365741</v>
      </c>
      <c r="B11" t="inlineStr">
        <is>
          <t>T-54</t>
        </is>
      </c>
      <c r="C11" t="inlineStr">
        <is>
          <t>RODRIGUEZ ROJAS CARLOS HUMBERTO</t>
        </is>
      </c>
      <c r="D11" s="67" t="n">
        <v>282.5</v>
      </c>
      <c r="E11" s="68">
        <f>D11*0.13</f>
        <v/>
      </c>
      <c r="F11" s="68">
        <f>D11+E11</f>
        <v/>
      </c>
      <c r="G11" s="69" t="inlineStr">
        <is>
          <t>NO</t>
        </is>
      </c>
      <c r="H11" s="68">
        <f>IF(G11="SI",0,D11*0.02)</f>
        <v/>
      </c>
      <c r="I11" s="68">
        <f>F11-H11</f>
        <v/>
      </c>
      <c r="J11" t="inlineStr">
        <is>
          <t>EMITIDA</t>
        </is>
      </c>
      <c r="K11" t="n">
        <v>54</v>
      </c>
    </row>
    <row r="12">
      <c r="A12" s="49" t="n">
        <v>45970.96726365741</v>
      </c>
      <c r="B12" t="inlineStr">
        <is>
          <t>T-55</t>
        </is>
      </c>
      <c r="C12" t="inlineStr">
        <is>
          <t>VOLIO PARTNERS</t>
        </is>
      </c>
      <c r="D12" s="67" t="n">
        <v>284.76</v>
      </c>
      <c r="E12" s="68">
        <f>D12*0.13</f>
        <v/>
      </c>
      <c r="F12" s="68">
        <f>D12+E12</f>
        <v/>
      </c>
      <c r="G12" s="69" t="inlineStr">
        <is>
          <t>NO</t>
        </is>
      </c>
      <c r="H12" s="68">
        <f>IF(G12="SI",0,D12*0.02)</f>
        <v/>
      </c>
      <c r="I12" s="68">
        <f>F12-H12</f>
        <v/>
      </c>
      <c r="J12" t="inlineStr">
        <is>
          <t>EMITIDA</t>
        </is>
      </c>
      <c r="K12" t="n">
        <v>55</v>
      </c>
    </row>
    <row r="13">
      <c r="A13" s="49" t="n">
        <v>45970.96726365741</v>
      </c>
      <c r="B13" t="inlineStr">
        <is>
          <t>T-56</t>
        </is>
      </c>
      <c r="C13" t="inlineStr">
        <is>
          <t>SMART WEB SERVICES</t>
        </is>
      </c>
      <c r="D13" s="67" t="n">
        <v>149.16</v>
      </c>
      <c r="E13" s="68">
        <f>D13*0.13</f>
        <v/>
      </c>
      <c r="F13" s="68">
        <f>D13+E13</f>
        <v/>
      </c>
      <c r="G13" s="69" t="inlineStr">
        <is>
          <t>NO</t>
        </is>
      </c>
      <c r="H13" s="68">
        <f>IF(G13="SI",0,D13*0.02)</f>
        <v/>
      </c>
      <c r="I13" s="68">
        <f>F13-H13</f>
        <v/>
      </c>
      <c r="J13" t="inlineStr">
        <is>
          <t>EMITIDA</t>
        </is>
      </c>
      <c r="K13" t="n">
        <v>56</v>
      </c>
    </row>
    <row r="14">
      <c r="A14" s="49" t="n">
        <v>45970.96726365741</v>
      </c>
      <c r="B14" t="inlineStr">
        <is>
          <t>T-57</t>
        </is>
      </c>
      <c r="C14" t="inlineStr">
        <is>
          <t>GENTRA DE COSTA RICA</t>
        </is>
      </c>
      <c r="D14" s="67" t="n">
        <v>226</v>
      </c>
      <c r="E14" s="68">
        <f>D14*0.13</f>
        <v/>
      </c>
      <c r="F14" s="68">
        <f>D14+E14</f>
        <v/>
      </c>
      <c r="G14" s="69" t="inlineStr">
        <is>
          <t>NO</t>
        </is>
      </c>
      <c r="H14" s="68">
        <f>IF(G14="SI",0,D14*0.02)</f>
        <v/>
      </c>
      <c r="I14" s="68">
        <f>F14-H14</f>
        <v/>
      </c>
      <c r="J14" t="inlineStr">
        <is>
          <t>EMITIDA</t>
        </is>
      </c>
      <c r="K14" t="n">
        <v>57</v>
      </c>
    </row>
    <row r="15">
      <c r="A15" s="49" t="n">
        <v>45970.96726365741</v>
      </c>
      <c r="B15" t="inlineStr">
        <is>
          <t>T-62</t>
        </is>
      </c>
      <c r="C15" t="inlineStr">
        <is>
          <t>ALMACEN FISCAL DEL PACIFICO</t>
        </is>
      </c>
      <c r="D15" s="67" t="n">
        <v>761.0599999999999</v>
      </c>
      <c r="E15" s="68">
        <f>D15*0.13</f>
        <v/>
      </c>
      <c r="F15" s="68">
        <f>D15+E15</f>
        <v/>
      </c>
      <c r="G15" s="69" t="inlineStr">
        <is>
          <t>NO</t>
        </is>
      </c>
      <c r="H15" s="68">
        <f>IF(G15="SI",0,D15*0.02)</f>
        <v/>
      </c>
      <c r="I15" s="68">
        <f>F15-H15</f>
        <v/>
      </c>
      <c r="J15" t="inlineStr">
        <is>
          <t>EMITIDA</t>
        </is>
      </c>
      <c r="K15" t="n">
        <v>62</v>
      </c>
    </row>
    <row r="16">
      <c r="A16" s="49" t="n">
        <v>45970.97982065972</v>
      </c>
      <c r="B16" t="inlineStr">
        <is>
          <t>T-75</t>
        </is>
      </c>
      <c r="C16" t="inlineStr">
        <is>
          <t>OPERATION MANAGMENT OF TIERRA MAGNIFICA</t>
        </is>
      </c>
      <c r="D16" s="67" t="n">
        <v>209.06</v>
      </c>
      <c r="E16" s="68">
        <f>D16*0.13</f>
        <v/>
      </c>
      <c r="F16" s="68">
        <f>D16+E16</f>
        <v/>
      </c>
      <c r="G16" s="69" t="inlineStr">
        <is>
          <t>NO</t>
        </is>
      </c>
      <c r="H16" s="68">
        <f>IF(G16="SI",0,D16*0.02)</f>
        <v/>
      </c>
      <c r="I16" s="68">
        <f>F16-H16</f>
        <v/>
      </c>
      <c r="J16" t="inlineStr">
        <is>
          <t>EMITIDA</t>
        </is>
      </c>
      <c r="K16" t="n">
        <v>75</v>
      </c>
    </row>
    <row r="17">
      <c r="A17" s="49" t="n">
        <v>45970.97982065972</v>
      </c>
      <c r="B17" t="inlineStr">
        <is>
          <t>T-76</t>
        </is>
      </c>
      <c r="C17" t="inlineStr">
        <is>
          <t>CPF SERVICIOS RADIOLÓGICOS S.A.</t>
        </is>
      </c>
      <c r="D17" s="67" t="n">
        <v>56.5</v>
      </c>
      <c r="E17" s="68">
        <f>D17*0.13</f>
        <v/>
      </c>
      <c r="F17" s="68">
        <f>D17+E17</f>
        <v/>
      </c>
      <c r="G17" s="69" t="inlineStr">
        <is>
          <t>NO</t>
        </is>
      </c>
      <c r="H17" s="68">
        <f>IF(G17="SI",0,D17*0.02)</f>
        <v/>
      </c>
      <c r="I17" s="68">
        <f>F17-H17</f>
        <v/>
      </c>
      <c r="J17" t="inlineStr">
        <is>
          <t>EMITIDA</t>
        </is>
      </c>
      <c r="K17" t="n">
        <v>76</v>
      </c>
    </row>
    <row r="18">
      <c r="A18" s="49" t="n">
        <v>45970.97982065972</v>
      </c>
      <c r="B18" t="inlineStr">
        <is>
          <t>T-77</t>
        </is>
      </c>
      <c r="C18" t="inlineStr">
        <is>
          <t>ORTODEC S.A.</t>
        </is>
      </c>
      <c r="D18" s="67" t="n">
        <v>56.5</v>
      </c>
      <c r="E18" s="68">
        <f>D18*0.13</f>
        <v/>
      </c>
      <c r="F18" s="68">
        <f>D18+E18</f>
        <v/>
      </c>
      <c r="G18" s="69" t="inlineStr">
        <is>
          <t>NO</t>
        </is>
      </c>
      <c r="H18" s="68">
        <f>IF(G18="SI",0,D18*0.02)</f>
        <v/>
      </c>
      <c r="I18" s="68">
        <f>F18-H18</f>
        <v/>
      </c>
      <c r="J18" t="inlineStr">
        <is>
          <t>EMITIDA</t>
        </is>
      </c>
      <c r="K18" t="n">
        <v>77</v>
      </c>
    </row>
    <row r="19">
      <c r="A19" s="49" t="n">
        <v>45970.97982065972</v>
      </c>
      <c r="B19" t="inlineStr">
        <is>
          <t>T-78</t>
        </is>
      </c>
      <c r="C19" t="inlineStr">
        <is>
          <t>CEMSO</t>
        </is>
      </c>
      <c r="D19" s="67" t="n">
        <v>333.92</v>
      </c>
      <c r="E19" s="68">
        <f>D19*0.13</f>
        <v/>
      </c>
      <c r="F19" s="68">
        <f>D19+E19</f>
        <v/>
      </c>
      <c r="G19" s="69" t="inlineStr">
        <is>
          <t>NO</t>
        </is>
      </c>
      <c r="H19" s="68">
        <f>IF(G19="SI",0,D19*0.02)</f>
        <v/>
      </c>
      <c r="I19" s="68">
        <f>F19-H19</f>
        <v/>
      </c>
      <c r="J19" t="inlineStr">
        <is>
          <t>EMITIDA</t>
        </is>
      </c>
      <c r="K19" t="n">
        <v>78</v>
      </c>
    </row>
    <row r="20">
      <c r="A20" s="49" t="n">
        <v>45970.97982065972</v>
      </c>
      <c r="B20" t="inlineStr">
        <is>
          <t>T-79</t>
        </is>
      </c>
      <c r="C20" t="inlineStr">
        <is>
          <t>GRUPO ACCION COMERCIAL S.A.</t>
        </is>
      </c>
      <c r="D20" s="67" t="n">
        <v>1689.04</v>
      </c>
      <c r="E20" s="68">
        <f>D20*0.13</f>
        <v/>
      </c>
      <c r="F20" s="68">
        <f>D20+E20</f>
        <v/>
      </c>
      <c r="G20" s="69" t="inlineStr">
        <is>
          <t>NO</t>
        </is>
      </c>
      <c r="H20" s="68">
        <f>IF(G20="SI",0,D20*0.02)</f>
        <v/>
      </c>
      <c r="I20" s="68">
        <f>F20-H20</f>
        <v/>
      </c>
      <c r="J20" t="inlineStr">
        <is>
          <t>EMITIDA</t>
        </is>
      </c>
      <c r="K20" t="n">
        <v>79</v>
      </c>
    </row>
    <row r="21">
      <c r="A21" s="61" t="inlineStr">
        <is>
          <t>TOTAL VENTAS</t>
        </is>
      </c>
      <c r="D21" s="62">
        <f>SUM(D6:D20)</f>
        <v/>
      </c>
      <c r="E21" s="70">
        <f>SUM(E6:E20)</f>
        <v/>
      </c>
      <c r="F21" s="62">
        <f>SUM(F6:F20)</f>
        <v/>
      </c>
    </row>
    <row r="23">
      <c r="A23" s="66" t="inlineStr">
        <is>
          <t>COMPRAS - IVA PAGADO (CRÉDITO FISCAL)</t>
        </is>
      </c>
    </row>
    <row r="24">
      <c r="A24" s="59" t="inlineStr">
        <is>
          <t>Fecha</t>
        </is>
      </c>
      <c r="B24" s="59" t="inlineStr">
        <is>
          <t>Factura</t>
        </is>
      </c>
      <c r="C24" s="59" t="inlineStr">
        <is>
          <t>Proveedor</t>
        </is>
      </c>
      <c r="D24" s="59" t="inlineStr">
        <is>
          <t>Base Gravable USD</t>
        </is>
      </c>
      <c r="E24" s="59" t="inlineStr">
        <is>
          <t>IVA 13% USD</t>
        </is>
      </c>
      <c r="F24" s="59" t="inlineStr">
        <is>
          <t>Total USD</t>
        </is>
      </c>
      <c r="G24" s="59" t="inlineStr">
        <is>
          <t>Deducible</t>
        </is>
      </c>
      <c r="H24" s="59" t="inlineStr">
        <is>
          <t>IVA Acreditable</t>
        </is>
      </c>
      <c r="I24" s="59" t="inlineStr">
        <is>
          <t>Método Pago</t>
        </is>
      </c>
      <c r="J24" s="59" t="inlineStr">
        <is>
          <t>Estado</t>
        </is>
      </c>
      <c r="K24" s="59" t="inlineStr">
        <is>
          <t>Ref Trans</t>
        </is>
      </c>
      <c r="L24" s="59" t="inlineStr">
        <is>
          <t>Notas</t>
        </is>
      </c>
    </row>
    <row r="25">
      <c r="A25" s="49" t="n">
        <v>45970.39496228009</v>
      </c>
      <c r="B25" t="inlineStr">
        <is>
          <t>C-9</t>
        </is>
      </c>
      <c r="C25" t="inlineStr">
        <is>
          <t>VWR INTERNATIONAL LTDA</t>
        </is>
      </c>
      <c r="D25" s="67" t="n">
        <v>2477.876106194691</v>
      </c>
      <c r="E25" s="68">
        <f>D25*0.13</f>
        <v/>
      </c>
      <c r="F25" s="68">
        <f>D25+E25</f>
        <v/>
      </c>
      <c r="G25" s="69" t="inlineStr">
        <is>
          <t>SI</t>
        </is>
      </c>
      <c r="H25" s="68">
        <f>IF(G25="SI",E25,0)</f>
        <v/>
      </c>
      <c r="I25" t="inlineStr">
        <is>
          <t>N/D</t>
        </is>
      </c>
      <c r="J25" t="inlineStr">
        <is>
          <t>PAGADA</t>
        </is>
      </c>
      <c r="K25" t="n">
        <v>9</v>
      </c>
    </row>
    <row r="26">
      <c r="A26" s="49" t="n">
        <v>45970.39496228009</v>
      </c>
      <c r="B26" t="inlineStr">
        <is>
          <t>C-10</t>
        </is>
      </c>
      <c r="C26" t="inlineStr">
        <is>
          <t>GRUPO ACCION COMERCIAL S.A.</t>
        </is>
      </c>
      <c r="D26" s="67" t="n">
        <v>1494.725663716814</v>
      </c>
      <c r="E26" s="68">
        <f>D26*0.13</f>
        <v/>
      </c>
      <c r="F26" s="68">
        <f>D26+E26</f>
        <v/>
      </c>
      <c r="G26" s="69" t="inlineStr">
        <is>
          <t>SI</t>
        </is>
      </c>
      <c r="H26" s="68">
        <f>IF(G26="SI",E26,0)</f>
        <v/>
      </c>
      <c r="I26" t="inlineStr">
        <is>
          <t>N/D</t>
        </is>
      </c>
      <c r="J26" t="inlineStr">
        <is>
          <t>PAGADA</t>
        </is>
      </c>
      <c r="K26" t="n">
        <v>10</v>
      </c>
    </row>
    <row r="27">
      <c r="A27" s="49" t="n">
        <v>45970.39496228009</v>
      </c>
      <c r="B27" t="inlineStr">
        <is>
          <t>C-11</t>
        </is>
      </c>
      <c r="C27" t="inlineStr">
        <is>
          <t>ALMACEN FISCAL DEL PACIFICO ALFIPAC SOCIEDAD ANONIMA</t>
        </is>
      </c>
      <c r="D27" s="67" t="n">
        <v>673.4955752212389</v>
      </c>
      <c r="E27" s="68">
        <f>D27*0.13</f>
        <v/>
      </c>
      <c r="F27" s="68">
        <f>D27+E27</f>
        <v/>
      </c>
      <c r="G27" s="69" t="inlineStr">
        <is>
          <t>SI</t>
        </is>
      </c>
      <c r="H27" s="68">
        <f>IF(G27="SI",E27,0)</f>
        <v/>
      </c>
      <c r="I27" t="inlineStr">
        <is>
          <t>N/D</t>
        </is>
      </c>
      <c r="J27" t="inlineStr">
        <is>
          <t>PAGADA</t>
        </is>
      </c>
      <c r="K27" t="n">
        <v>11</v>
      </c>
    </row>
    <row r="28">
      <c r="A28" s="49" t="n">
        <v>45970.39496228009</v>
      </c>
      <c r="B28" t="inlineStr">
        <is>
          <t>C-12</t>
        </is>
      </c>
      <c r="C28" t="inlineStr">
        <is>
          <t>3-102-887892 SOCIEDAD DE RESPONSABILIDAD LIMITADA</t>
        </is>
      </c>
      <c r="D28" s="67" t="n">
        <v>612</v>
      </c>
      <c r="E28" s="68">
        <f>D28*0.13</f>
        <v/>
      </c>
      <c r="F28" s="68">
        <f>D28+E28</f>
        <v/>
      </c>
      <c r="G28" s="69" t="inlineStr">
        <is>
          <t>SI</t>
        </is>
      </c>
      <c r="H28" s="68">
        <f>IF(G28="SI",E28,0)</f>
        <v/>
      </c>
      <c r="I28" t="inlineStr">
        <is>
          <t>N/D</t>
        </is>
      </c>
      <c r="J28" t="inlineStr">
        <is>
          <t>PAGADA</t>
        </is>
      </c>
      <c r="K28" t="n">
        <v>12</v>
      </c>
    </row>
    <row r="29">
      <c r="A29" s="49" t="n">
        <v>45970.39496228009</v>
      </c>
      <c r="B29" t="inlineStr">
        <is>
          <t>C-13</t>
        </is>
      </c>
      <c r="C29" t="inlineStr">
        <is>
          <t>WAIPIO SOCIEDAD ANONIMA</t>
        </is>
      </c>
      <c r="D29" s="67" t="n">
        <v>608.2035398230089</v>
      </c>
      <c r="E29" s="68">
        <f>D29*0.13</f>
        <v/>
      </c>
      <c r="F29" s="68">
        <f>D29+E29</f>
        <v/>
      </c>
      <c r="G29" s="69" t="inlineStr">
        <is>
          <t>SI</t>
        </is>
      </c>
      <c r="H29" s="68">
        <f>IF(G29="SI",E29,0)</f>
        <v/>
      </c>
      <c r="I29" t="inlineStr">
        <is>
          <t>N/D</t>
        </is>
      </c>
      <c r="J29" t="inlineStr">
        <is>
          <t>PAGADA</t>
        </is>
      </c>
      <c r="K29" t="n">
        <v>13</v>
      </c>
    </row>
    <row r="30">
      <c r="A30" s="49" t="n">
        <v>45970.39496228009</v>
      </c>
      <c r="B30" t="inlineStr">
        <is>
          <t>C-14</t>
        </is>
      </c>
      <c r="C30" t="inlineStr">
        <is>
          <t>CENTRO INTEGRAL DE ONCOLOGIA CIO SRL</t>
        </is>
      </c>
      <c r="D30" s="67" t="n">
        <v>608.0088495575221</v>
      </c>
      <c r="E30" s="68">
        <f>D30*0.13</f>
        <v/>
      </c>
      <c r="F30" s="68">
        <f>D30+E30</f>
        <v/>
      </c>
      <c r="G30" s="69" t="inlineStr">
        <is>
          <t>SI</t>
        </is>
      </c>
      <c r="H30" s="68">
        <f>IF(G30="SI",E30,0)</f>
        <v/>
      </c>
      <c r="I30" t="inlineStr">
        <is>
          <t>N/D</t>
        </is>
      </c>
      <c r="J30" t="inlineStr">
        <is>
          <t>PAGADA</t>
        </is>
      </c>
      <c r="K30" t="n">
        <v>14</v>
      </c>
    </row>
    <row r="31">
      <c r="A31" s="49" t="n">
        <v>45970.39496228009</v>
      </c>
      <c r="B31" t="inlineStr">
        <is>
          <t>C-15</t>
        </is>
      </c>
      <c r="C31" t="inlineStr">
        <is>
          <t>ORTODONCIA DE LA CRUZ</t>
        </is>
      </c>
      <c r="D31" s="67" t="n">
        <v>437.6106194690266</v>
      </c>
      <c r="E31" s="68">
        <f>D31*0.13</f>
        <v/>
      </c>
      <c r="F31" s="68">
        <f>D31+E31</f>
        <v/>
      </c>
      <c r="G31" s="69" t="inlineStr">
        <is>
          <t>SI</t>
        </is>
      </c>
      <c r="H31" s="68">
        <f>IF(G31="SI",E31,0)</f>
        <v/>
      </c>
      <c r="I31" t="inlineStr">
        <is>
          <t>N/D</t>
        </is>
      </c>
      <c r="J31" t="inlineStr">
        <is>
          <t>PAGADA</t>
        </is>
      </c>
      <c r="K31" t="n">
        <v>15</v>
      </c>
    </row>
    <row r="32">
      <c r="A32" s="49" t="n">
        <v>45970.39496228009</v>
      </c>
      <c r="B32" t="inlineStr">
        <is>
          <t>C-16</t>
        </is>
      </c>
      <c r="C32" t="inlineStr">
        <is>
          <t>GLOBAL AUTOMOTRIZ DE COSTA RICA GACR SOCIEDAD ANONIMA</t>
        </is>
      </c>
      <c r="D32" s="67" t="n">
        <v>389.0353982300886</v>
      </c>
      <c r="E32" s="68">
        <f>D32*0.13</f>
        <v/>
      </c>
      <c r="F32" s="68">
        <f>D32+E32</f>
        <v/>
      </c>
      <c r="G32" s="69" t="inlineStr">
        <is>
          <t>SI</t>
        </is>
      </c>
      <c r="H32" s="68">
        <f>IF(G32="SI",E32,0)</f>
        <v/>
      </c>
      <c r="I32" t="inlineStr">
        <is>
          <t>N/D</t>
        </is>
      </c>
      <c r="J32" t="inlineStr">
        <is>
          <t>PAGADA</t>
        </is>
      </c>
      <c r="K32" t="n">
        <v>16</v>
      </c>
    </row>
    <row r="33">
      <c r="A33" s="49" t="n">
        <v>45970.39496228009</v>
      </c>
      <c r="B33" t="inlineStr">
        <is>
          <t>C-17</t>
        </is>
      </c>
      <c r="C33" t="inlineStr">
        <is>
          <t>SOLUSA CONSOLIDATORS AND FORWARDIG, S.A.</t>
        </is>
      </c>
      <c r="D33" s="67" t="n">
        <v>334.8230088495576</v>
      </c>
      <c r="E33" s="68">
        <f>D33*0.13</f>
        <v/>
      </c>
      <c r="F33" s="68">
        <f>D33+E33</f>
        <v/>
      </c>
      <c r="G33" s="69" t="inlineStr">
        <is>
          <t>SI</t>
        </is>
      </c>
      <c r="H33" s="68">
        <f>IF(G33="SI",E33,0)</f>
        <v/>
      </c>
      <c r="I33" t="inlineStr">
        <is>
          <t>N/D</t>
        </is>
      </c>
      <c r="J33" t="inlineStr">
        <is>
          <t>PAGADA</t>
        </is>
      </c>
      <c r="K33" t="n">
        <v>17</v>
      </c>
    </row>
    <row r="34">
      <c r="A34" s="49" t="n">
        <v>45970.39496228009</v>
      </c>
      <c r="B34" t="inlineStr">
        <is>
          <t>C-18</t>
        </is>
      </c>
      <c r="C34" t="inlineStr">
        <is>
          <t>CEMSO</t>
        </is>
      </c>
      <c r="D34" s="67" t="n">
        <v>295.5044247787611</v>
      </c>
      <c r="E34" s="68">
        <f>D34*0.13</f>
        <v/>
      </c>
      <c r="F34" s="68">
        <f>D34+E34</f>
        <v/>
      </c>
      <c r="G34" s="69" t="inlineStr">
        <is>
          <t>SI</t>
        </is>
      </c>
      <c r="H34" s="68">
        <f>IF(G34="SI",E34,0)</f>
        <v/>
      </c>
      <c r="I34" t="inlineStr">
        <is>
          <t>N/D</t>
        </is>
      </c>
      <c r="J34" t="inlineStr">
        <is>
          <t>PAGADA</t>
        </is>
      </c>
      <c r="K34" t="n">
        <v>18</v>
      </c>
    </row>
    <row r="35">
      <c r="A35" s="49" t="n">
        <v>45970.39496228009</v>
      </c>
      <c r="B35" t="inlineStr">
        <is>
          <t>C-19</t>
        </is>
      </c>
      <c r="C35" t="inlineStr">
        <is>
          <t>ASOCIACION COSTARRICENSE DE AGENCIAS DE CARGA Y LOGISTICA INTERNACIONAL ACACIA</t>
        </is>
      </c>
      <c r="D35" s="67" t="n">
        <v>295.0000000000001</v>
      </c>
      <c r="E35" s="68">
        <f>D35*0.13</f>
        <v/>
      </c>
      <c r="F35" s="68">
        <f>D35+E35</f>
        <v/>
      </c>
      <c r="G35" s="69" t="inlineStr">
        <is>
          <t>SI</t>
        </is>
      </c>
      <c r="H35" s="68">
        <f>IF(G35="SI",E35,0)</f>
        <v/>
      </c>
      <c r="I35" t="inlineStr">
        <is>
          <t>N/D</t>
        </is>
      </c>
      <c r="J35" t="inlineStr">
        <is>
          <t>PAGADA</t>
        </is>
      </c>
      <c r="K35" t="n">
        <v>19</v>
      </c>
    </row>
    <row r="36">
      <c r="A36" s="49" t="n">
        <v>45970.39496228009</v>
      </c>
      <c r="B36" t="inlineStr">
        <is>
          <t>C-20</t>
        </is>
      </c>
      <c r="C36" t="inlineStr">
        <is>
          <t>RODRIGUEZ ROJAS CARLOS HUMBERTO</t>
        </is>
      </c>
      <c r="D36" s="67" t="n">
        <v>250</v>
      </c>
      <c r="E36" s="68">
        <f>D36*0.13</f>
        <v/>
      </c>
      <c r="F36" s="68">
        <f>D36+E36</f>
        <v/>
      </c>
      <c r="G36" s="69" t="inlineStr">
        <is>
          <t>SI</t>
        </is>
      </c>
      <c r="H36" s="68">
        <f>IF(G36="SI",E36,0)</f>
        <v/>
      </c>
      <c r="I36" t="inlineStr">
        <is>
          <t>N/D</t>
        </is>
      </c>
      <c r="J36" t="inlineStr">
        <is>
          <t>PAGADA</t>
        </is>
      </c>
      <c r="K36" t="n">
        <v>20</v>
      </c>
    </row>
    <row r="37">
      <c r="A37" s="49" t="n">
        <v>45970.39496228009</v>
      </c>
      <c r="B37" t="inlineStr">
        <is>
          <t>C-21</t>
        </is>
      </c>
      <c r="C37" t="inlineStr">
        <is>
          <t>SUPPLY NET C.R.W.H SOCIEDAD ANONIMA</t>
        </is>
      </c>
      <c r="D37" s="67" t="n">
        <v>245.0000000000001</v>
      </c>
      <c r="E37" s="68">
        <f>D37*0.13</f>
        <v/>
      </c>
      <c r="F37" s="68">
        <f>D37+E37</f>
        <v/>
      </c>
      <c r="G37" s="69" t="inlineStr">
        <is>
          <t>SI</t>
        </is>
      </c>
      <c r="H37" s="68">
        <f>IF(G37="SI",E37,0)</f>
        <v/>
      </c>
      <c r="I37" t="inlineStr">
        <is>
          <t>N/D</t>
        </is>
      </c>
      <c r="J37" t="inlineStr">
        <is>
          <t>PAGADA</t>
        </is>
      </c>
      <c r="K37" t="n">
        <v>21</v>
      </c>
    </row>
    <row r="38">
      <c r="A38" s="49" t="n">
        <v>45970.39496228009</v>
      </c>
      <c r="B38" t="inlineStr">
        <is>
          <t>C-22</t>
        </is>
      </c>
      <c r="C38" t="inlineStr">
        <is>
          <t>OPERATION MANAGMENT OF TIERRA MAGNIFICA</t>
        </is>
      </c>
      <c r="D38" s="67" t="n">
        <v>185.0088495575222</v>
      </c>
      <c r="E38" s="68">
        <f>D38*0.13</f>
        <v/>
      </c>
      <c r="F38" s="68">
        <f>D38+E38</f>
        <v/>
      </c>
      <c r="G38" s="69" t="inlineStr">
        <is>
          <t>SI</t>
        </is>
      </c>
      <c r="H38" s="68">
        <f>IF(G38="SI",E38,0)</f>
        <v/>
      </c>
      <c r="I38" t="inlineStr">
        <is>
          <t>N/D</t>
        </is>
      </c>
      <c r="J38" t="inlineStr">
        <is>
          <t>PAGADA</t>
        </is>
      </c>
      <c r="K38" t="n">
        <v>22</v>
      </c>
    </row>
    <row r="39">
      <c r="A39" s="49" t="n">
        <v>45970.39496228009</v>
      </c>
      <c r="B39" t="inlineStr">
        <is>
          <t>C-23</t>
        </is>
      </c>
      <c r="C39" t="inlineStr">
        <is>
          <t>GENTRA DE COSTA RICA SOCIEDAD ANONIMA</t>
        </is>
      </c>
      <c r="D39" s="67" t="n">
        <v>162.5044247787611</v>
      </c>
      <c r="E39" s="68">
        <f>D39*0.13</f>
        <v/>
      </c>
      <c r="F39" s="68">
        <f>D39+E39</f>
        <v/>
      </c>
      <c r="G39" s="69" t="inlineStr">
        <is>
          <t>SI</t>
        </is>
      </c>
      <c r="H39" s="68">
        <f>IF(G39="SI",E39,0)</f>
        <v/>
      </c>
      <c r="I39" t="inlineStr">
        <is>
          <t>N/D</t>
        </is>
      </c>
      <c r="J39" t="inlineStr">
        <is>
          <t>PAGADA</t>
        </is>
      </c>
      <c r="K39" t="n">
        <v>23</v>
      </c>
    </row>
    <row r="40">
      <c r="A40" s="49" t="n">
        <v>45970.39496228009</v>
      </c>
      <c r="B40" t="inlineStr">
        <is>
          <t>C-24</t>
        </is>
      </c>
      <c r="C40" t="inlineStr">
        <is>
          <t>SEVILLA NAVARRO EDGAR</t>
        </is>
      </c>
      <c r="D40" s="67" t="n">
        <v>150</v>
      </c>
      <c r="E40" s="68">
        <f>D40*0.13</f>
        <v/>
      </c>
      <c r="F40" s="68">
        <f>D40+E40</f>
        <v/>
      </c>
      <c r="G40" s="69" t="inlineStr">
        <is>
          <t>SI</t>
        </is>
      </c>
      <c r="H40" s="68">
        <f>IF(G40="SI",E40,0)</f>
        <v/>
      </c>
      <c r="I40" t="inlineStr">
        <is>
          <t>N/D</t>
        </is>
      </c>
      <c r="J40" t="inlineStr">
        <is>
          <t>PAGADA</t>
        </is>
      </c>
      <c r="K40" t="n">
        <v>24</v>
      </c>
    </row>
    <row r="41">
      <c r="A41" s="61" t="inlineStr">
        <is>
          <t>TOTAL COMPRAS</t>
        </is>
      </c>
      <c r="D41" s="62">
        <f>SUM(D25:D40)</f>
        <v/>
      </c>
      <c r="E41" s="62">
        <f>SUM(E25:E40)</f>
        <v/>
      </c>
      <c r="H41" s="71">
        <f>SUM(H25:H40)</f>
        <v/>
      </c>
    </row>
    <row r="43">
      <c r="A43" s="66" t="inlineStr">
        <is>
          <t>RESUMEN DECLARACIÓN D-104</t>
        </is>
      </c>
    </row>
    <row r="44">
      <c r="A44" s="61" t="inlineStr">
        <is>
          <t>IVA Cobrado (Ventas)</t>
        </is>
      </c>
      <c r="B44" s="72">
        <f>E21</f>
        <v/>
      </c>
    </row>
    <row r="45">
      <c r="A45" s="61" t="inlineStr">
        <is>
          <t>IVA Acreditable (Compras)</t>
        </is>
      </c>
      <c r="B45" s="73">
        <f>H41</f>
        <v/>
      </c>
    </row>
    <row r="46">
      <c r="A46" s="74" t="inlineStr">
        <is>
          <t>IVA A PAGAR</t>
        </is>
      </c>
      <c r="B46" s="75">
        <f>B44-B45</f>
        <v/>
      </c>
    </row>
    <row r="47">
      <c r="A47" t="inlineStr">
        <is>
          <t>Vencimiento D-104</t>
        </is>
      </c>
      <c r="B47" s="76" t="inlineStr">
        <is>
          <t>26/Nov/2025</t>
        </is>
      </c>
    </row>
    <row r="49">
      <c r="A49" s="61" t="inlineStr">
        <is>
          <t>NOTAS:</t>
        </is>
      </c>
    </row>
    <row r="50">
      <c r="A50" t="inlineStr">
        <is>
          <t>• VWR International y RSHughes: ZONA FRANCA (marcar Zona Franca='SI')</t>
        </is>
      </c>
    </row>
    <row r="51">
      <c r="A51" t="inlineStr">
        <is>
          <t>• Retención 2%: Aplicable a servicios profesionales</t>
        </is>
      </c>
    </row>
    <row r="52">
      <c r="A52" t="inlineStr">
        <is>
          <t>• IVA Acreditable: Solo gastos deducibles (marcar Deducible='SI')</t>
        </is>
      </c>
    </row>
    <row r="53">
      <c r="A53" t="inlineStr">
        <is>
          <t>• Ref Trans: Vincular a fila en hoja TRANSACCIONES</t>
        </is>
      </c>
    </row>
  </sheetData>
  <mergeCells count="5">
    <mergeCell ref="A2:L2"/>
    <mergeCell ref="A43:E43"/>
    <mergeCell ref="A1:L1"/>
    <mergeCell ref="A23:L23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5" customWidth="1" style="36" min="1" max="1"/>
    <col width="12" customWidth="1" style="36" min="2" max="2"/>
    <col width="12" customWidth="1" style="36" min="3" max="3"/>
    <col width="12" customWidth="1" style="36" min="4" max="4"/>
    <col width="10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58" t="inlineStr">
        <is>
          <t>CUENTAS POR COBRAR (CxC)</t>
        </is>
      </c>
    </row>
    <row r="2">
      <c r="A2" s="59" t="inlineStr">
        <is>
          <t>Cliente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Días Crédito</t>
        </is>
      </c>
      <c r="F2" s="59" t="inlineStr">
        <is>
          <t>Monto USD</t>
        </is>
      </c>
      <c r="G2" s="59" t="inlineStr">
        <is>
          <t>Saldo USD</t>
        </is>
      </c>
      <c r="H2" s="59" t="inlineStr">
        <is>
          <t>Días Vencido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Grupo Acción Comercial S.A.</t>
        </is>
      </c>
      <c r="B3" t="inlineStr">
        <is>
          <t>AR-002</t>
        </is>
      </c>
      <c r="C3" s="49" t="n">
        <v>45962</v>
      </c>
      <c r="D3" s="49" t="n">
        <v>45992</v>
      </c>
      <c r="E3" t="n">
        <v>30</v>
      </c>
      <c r="F3" s="51" t="n">
        <v>1689.04</v>
      </c>
      <c r="G3" s="51" t="n">
        <v>1689.04</v>
      </c>
      <c r="H3" s="60">
        <f>IF(D3&lt;TODAY(), TODAY()-D3, 0)</f>
        <v/>
      </c>
      <c r="I3">
        <f>IF(H3=0, "AL DÍA", IF(H3&lt;=30, "VENCIDA", "CRÍTICA"))</f>
        <v/>
      </c>
    </row>
    <row r="4">
      <c r="A4" t="inlineStr">
        <is>
          <t>VWR International Ltda</t>
        </is>
      </c>
      <c r="B4" t="inlineStr">
        <is>
          <t>AR-001</t>
        </is>
      </c>
      <c r="C4" s="49" t="n">
        <v>45962</v>
      </c>
      <c r="D4" s="49" t="n">
        <v>45992</v>
      </c>
      <c r="E4" t="n">
        <v>30</v>
      </c>
      <c r="F4" s="51" t="n">
        <v>3567.08</v>
      </c>
      <c r="G4" s="51" t="n">
        <v>3567.08</v>
      </c>
      <c r="H4" s="60">
        <f>IF(D4&lt;TODAY(), TODAY()-D4, 0)</f>
        <v/>
      </c>
      <c r="I4">
        <f>IF(H4=0, "AL DÍA", IF(H4&lt;=30, "VENCIDA", "CRÍTICA"))</f>
        <v/>
      </c>
    </row>
    <row r="5">
      <c r="A5" t="inlineStr">
        <is>
          <t>3-102-887892 SRL</t>
        </is>
      </c>
      <c r="B5" t="inlineStr">
        <is>
          <t>AR-004</t>
        </is>
      </c>
      <c r="C5" s="49" t="n">
        <v>45962</v>
      </c>
      <c r="D5" s="49" t="n">
        <v>45992</v>
      </c>
      <c r="E5" t="n">
        <v>30</v>
      </c>
      <c r="F5" s="51" t="n">
        <v>691.5599999999999</v>
      </c>
      <c r="G5" s="51" t="n">
        <v>691.5599999999999</v>
      </c>
      <c r="H5" s="60">
        <f>IF(D5&lt;TODAY(), TODAY()-D5, 0)</f>
        <v/>
      </c>
      <c r="I5">
        <f>IF(H5=0, "AL DÍA", IF(H5&lt;=30, "VENCIDA", "CRÍTICA"))</f>
        <v/>
      </c>
    </row>
    <row r="6">
      <c r="A6" t="inlineStr">
        <is>
          <t>Centro Integral Oncología CIO SRL</t>
        </is>
      </c>
      <c r="B6" t="inlineStr">
        <is>
          <t>AR-006</t>
        </is>
      </c>
      <c r="C6" s="49" t="n">
        <v>45962</v>
      </c>
      <c r="D6" s="49" t="n">
        <v>45992</v>
      </c>
      <c r="E6" t="n">
        <v>30</v>
      </c>
      <c r="F6" s="51" t="n">
        <v>687.05</v>
      </c>
      <c r="G6" s="51" t="n">
        <v>687.05</v>
      </c>
      <c r="H6" s="60">
        <f>IF(D6&lt;TODAY(), TODAY()-D6, 0)</f>
        <v/>
      </c>
      <c r="I6">
        <f>IF(H6=0, "AL DÍA", IF(H6&lt;=30, "VENCIDA", "CRÍTICA"))</f>
        <v/>
      </c>
    </row>
    <row r="7">
      <c r="A7" t="inlineStr">
        <is>
          <t>Ortodoncia de la Cruz</t>
        </is>
      </c>
      <c r="B7" t="inlineStr">
        <is>
          <t>AR-007</t>
        </is>
      </c>
      <c r="C7" s="49" t="n">
        <v>45962</v>
      </c>
      <c r="D7" s="49" t="n">
        <v>45992</v>
      </c>
      <c r="E7" t="n">
        <v>30</v>
      </c>
      <c r="F7" s="51" t="n">
        <v>494.5</v>
      </c>
      <c r="G7" s="51" t="n">
        <v>494.5</v>
      </c>
      <c r="H7" s="60">
        <f>IF(D7&lt;TODAY(), TODAY()-D7, 0)</f>
        <v/>
      </c>
      <c r="I7">
        <f>IF(H7=0, "AL DÍA", IF(H7&lt;=30, "VENCIDA", "CRÍTICA"))</f>
        <v/>
      </c>
    </row>
    <row r="8">
      <c r="A8" t="inlineStr">
        <is>
          <t>Global Automotriz GACR S.A.</t>
        </is>
      </c>
      <c r="B8" t="inlineStr">
        <is>
          <t>AR-008</t>
        </is>
      </c>
      <c r="C8" s="49" t="n">
        <v>45962</v>
      </c>
      <c r="D8" s="49" t="n">
        <v>45992</v>
      </c>
      <c r="E8" t="n">
        <v>30</v>
      </c>
      <c r="F8" s="51" t="n">
        <v>439.61</v>
      </c>
      <c r="G8" s="51" t="n">
        <v>439.61</v>
      </c>
      <c r="H8" s="60">
        <f>IF(D8&lt;TODAY(), TODAY()-D8, 0)</f>
        <v/>
      </c>
      <c r="I8">
        <f>IF(H8=0, "AL DÍA", IF(H8&lt;=30, "VENCIDA", "CRÍTICA"))</f>
        <v/>
      </c>
    </row>
    <row r="9">
      <c r="A9" t="inlineStr">
        <is>
          <t>Solusa Consolidators</t>
        </is>
      </c>
      <c r="B9" t="inlineStr">
        <is>
          <t>AR-009</t>
        </is>
      </c>
      <c r="C9" s="49" t="n">
        <v>45962</v>
      </c>
      <c r="D9" s="49" t="n">
        <v>45992</v>
      </c>
      <c r="E9" t="n">
        <v>30</v>
      </c>
      <c r="F9" s="51" t="n">
        <v>378.35</v>
      </c>
      <c r="G9" s="51" t="n">
        <v>378.35</v>
      </c>
      <c r="H9" s="60">
        <f>IF(D9&lt;TODAY(), TODAY()-D9, 0)</f>
        <v/>
      </c>
      <c r="I9">
        <f>IF(H9=0, "AL DÍA", IF(H9&lt;=30, "VENCIDA", "CRÍTICA"))</f>
        <v/>
      </c>
    </row>
    <row r="10">
      <c r="A10" t="inlineStr">
        <is>
          <t>Cemso</t>
        </is>
      </c>
      <c r="B10" t="inlineStr">
        <is>
          <t>AR-010</t>
        </is>
      </c>
      <c r="C10" s="49" t="n">
        <v>45962</v>
      </c>
      <c r="D10" s="49" t="n">
        <v>45992</v>
      </c>
      <c r="E10" t="n">
        <v>30</v>
      </c>
      <c r="F10" s="51" t="n">
        <v>333.92</v>
      </c>
      <c r="G10" s="51" t="n">
        <v>333.92</v>
      </c>
      <c r="H10" s="60">
        <f>IF(D10&lt;TODAY(), TODAY()-D10, 0)</f>
        <v/>
      </c>
      <c r="I10">
        <f>IF(H10=0, "AL DÍA", IF(H10&lt;=30, "VENCIDA", "CRÍTICA"))</f>
        <v/>
      </c>
    </row>
    <row r="11">
      <c r="A11" t="inlineStr">
        <is>
          <t>Rodriguez Rojas Carlos Humberto</t>
        </is>
      </c>
      <c r="B11" t="inlineStr">
        <is>
          <t>AR-012</t>
        </is>
      </c>
      <c r="C11" s="49" t="n">
        <v>45962</v>
      </c>
      <c r="D11" s="49" t="n">
        <v>45992</v>
      </c>
      <c r="E11" t="n">
        <v>30</v>
      </c>
      <c r="F11" s="51" t="n">
        <v>282.5</v>
      </c>
      <c r="G11" s="51" t="n">
        <v>282.5</v>
      </c>
      <c r="H11" s="60">
        <f>IF(D11&lt;TODAY(), TODAY()-D11, 0)</f>
        <v/>
      </c>
      <c r="I11">
        <f>IF(H11=0, "AL DÍA", IF(H11&lt;=30, "VENCIDA", "CRÍTICA"))</f>
        <v/>
      </c>
    </row>
    <row r="12">
      <c r="A12" t="inlineStr">
        <is>
          <t>Supply Net C.R.W.H S.A.</t>
        </is>
      </c>
      <c r="B12" t="inlineStr">
        <is>
          <t>AR-013</t>
        </is>
      </c>
      <c r="C12" s="49" t="n">
        <v>45962</v>
      </c>
      <c r="D12" s="49" t="n">
        <v>45992</v>
      </c>
      <c r="E12" t="n">
        <v>30</v>
      </c>
      <c r="F12" s="51" t="n">
        <v>276.85</v>
      </c>
      <c r="G12" s="51" t="n">
        <v>276.85</v>
      </c>
      <c r="H12" s="60">
        <f>IF(D12&lt;TODAY(), TODAY()-D12, 0)</f>
        <v/>
      </c>
      <c r="I12">
        <f>IF(H12=0, "AL DÍA", IF(H12&lt;=30, "VENCIDA", "CRÍTICA"))</f>
        <v/>
      </c>
    </row>
    <row r="13">
      <c r="A13" t="inlineStr">
        <is>
          <t>Operation Managment Tierra Magnifica</t>
        </is>
      </c>
      <c r="B13" t="inlineStr">
        <is>
          <t>AR-014</t>
        </is>
      </c>
      <c r="C13" s="49" t="n">
        <v>45962</v>
      </c>
      <c r="D13" s="49" t="n">
        <v>45992</v>
      </c>
      <c r="E13" t="n">
        <v>30</v>
      </c>
      <c r="F13" s="51" t="n">
        <v>209.06</v>
      </c>
      <c r="G13" s="51" t="n">
        <v>209.06</v>
      </c>
      <c r="H13" s="60">
        <f>IF(D13&lt;TODAY(), TODAY()-D13, 0)</f>
        <v/>
      </c>
      <c r="I13">
        <f>IF(H13=0, "AL DÍA", IF(H13&lt;=30, "VENCIDA", "CRÍTICA"))</f>
        <v/>
      </c>
    </row>
    <row r="14">
      <c r="A14" t="inlineStr">
        <is>
          <t>Sevilla Navarro Edgar</t>
        </is>
      </c>
      <c r="B14" t="inlineStr">
        <is>
          <t>AR-016</t>
        </is>
      </c>
      <c r="C14" s="49" t="n">
        <v>45962</v>
      </c>
      <c r="D14" s="49" t="n">
        <v>45992</v>
      </c>
      <c r="E14" t="n">
        <v>30</v>
      </c>
      <c r="F14" s="51" t="n">
        <v>169.5</v>
      </c>
      <c r="G14" s="51" t="n">
        <v>169.5</v>
      </c>
      <c r="H14" s="60">
        <f>IF(D14&lt;TODAY(), TODAY()-D14, 0)</f>
        <v/>
      </c>
      <c r="I14">
        <f>IF(H14=0, "AL DÍA", IF(H14&lt;=30, "VENCIDA", "CRÍTICA"))</f>
        <v/>
      </c>
    </row>
    <row r="15">
      <c r="A15" t="inlineStr">
        <is>
          <t>Gomez Ajoy Edgar Luis</t>
        </is>
      </c>
      <c r="B15" t="inlineStr">
        <is>
          <t>AR-017</t>
        </is>
      </c>
      <c r="C15" s="49" t="n">
        <v>45962</v>
      </c>
      <c r="D15" s="49" t="n">
        <v>45992</v>
      </c>
      <c r="E15" t="n">
        <v>30</v>
      </c>
      <c r="F15" s="51" t="n">
        <v>113</v>
      </c>
      <c r="G15" s="51" t="n">
        <v>113</v>
      </c>
      <c r="H15" s="60">
        <f>IF(D15&lt;TODAY(), TODAY()-D15, 0)</f>
        <v/>
      </c>
      <c r="I15">
        <f>IF(H15=0, "AL DÍA", IF(H15&lt;=30, "VENCIDA", "CRÍTICA"))</f>
        <v/>
      </c>
    </row>
    <row r="16">
      <c r="A16" t="inlineStr">
        <is>
          <t>Melendez Morales Monica</t>
        </is>
      </c>
      <c r="B16" t="inlineStr">
        <is>
          <t>AR-018</t>
        </is>
      </c>
      <c r="C16" s="49" t="n">
        <v>45962</v>
      </c>
      <c r="D16" s="49" t="n">
        <v>45992</v>
      </c>
      <c r="E16" t="n">
        <v>30</v>
      </c>
      <c r="F16" s="51" t="n">
        <v>113</v>
      </c>
      <c r="G16" s="51" t="n">
        <v>113</v>
      </c>
      <c r="H16" s="60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Bandogo Soluciones Tecnológicas S.A.</t>
        </is>
      </c>
      <c r="B17" t="inlineStr">
        <is>
          <t>AR-019</t>
        </is>
      </c>
      <c r="C17" s="49" t="n">
        <v>45962</v>
      </c>
      <c r="D17" s="49" t="n">
        <v>45992</v>
      </c>
      <c r="E17" t="n">
        <v>30</v>
      </c>
      <c r="F17" s="51" t="n">
        <v>67.8</v>
      </c>
      <c r="G17" s="51" t="n">
        <v>67.8</v>
      </c>
      <c r="H17" s="60">
        <f>IF(D17&lt;TODAY(), TODAY()-D17, 0)</f>
        <v/>
      </c>
      <c r="I17">
        <f>IF(H17=0, "AL DÍA", IF(H17&lt;=30, "VENCIDA", "CRÍTICA"))</f>
        <v/>
      </c>
    </row>
    <row r="18">
      <c r="A18" t="inlineStr">
        <is>
          <t>CPF Servicios Radiológicos S.A.</t>
        </is>
      </c>
      <c r="B18" t="inlineStr">
        <is>
          <t>AR-020</t>
        </is>
      </c>
      <c r="C18" s="49" t="n">
        <v>45962</v>
      </c>
      <c r="D18" s="49" t="n">
        <v>45992</v>
      </c>
      <c r="E18" t="n">
        <v>30</v>
      </c>
      <c r="F18" s="51" t="n">
        <v>56.5</v>
      </c>
      <c r="G18" s="51" t="n">
        <v>56.5</v>
      </c>
      <c r="H18" s="60">
        <f>IF(D18&lt;TODAY(), TODAY()-D18, 0)</f>
        <v/>
      </c>
      <c r="I18">
        <f>IF(H18=0, "AL DÍA", IF(H18&lt;=30, "VENCIDA", "CRÍTICA"))</f>
        <v/>
      </c>
    </row>
    <row r="19">
      <c r="A19" t="inlineStr">
        <is>
          <t>Ortodec S.A.</t>
        </is>
      </c>
      <c r="B19" t="inlineStr">
        <is>
          <t>AR-021</t>
        </is>
      </c>
      <c r="C19" s="49" t="n">
        <v>45962</v>
      </c>
      <c r="D19" s="49" t="n">
        <v>45992</v>
      </c>
      <c r="E19" t="n">
        <v>30</v>
      </c>
      <c r="F19" s="51" t="n">
        <v>56.5</v>
      </c>
      <c r="G19" s="51" t="n">
        <v>56.5</v>
      </c>
      <c r="H19" s="60">
        <f>IF(D19&lt;TODAY(), TODAY()-D19, 0)</f>
        <v/>
      </c>
      <c r="I19">
        <f>IF(H19=0, "AL DÍA", IF(H19&lt;=30, "VENCIDA", "CRÍTICA"))</f>
        <v/>
      </c>
    </row>
    <row r="20">
      <c r="A20" t="inlineStr">
        <is>
          <t>Perez Morales Francisco</t>
        </is>
      </c>
      <c r="B20" t="inlineStr">
        <is>
          <t>AR-022</t>
        </is>
      </c>
      <c r="C20" s="49" t="n">
        <v>45962</v>
      </c>
      <c r="D20" s="49" t="n">
        <v>45992</v>
      </c>
      <c r="E20" t="n">
        <v>30</v>
      </c>
      <c r="F20" s="51" t="n">
        <v>42.38</v>
      </c>
      <c r="G20" s="51" t="n">
        <v>42.38</v>
      </c>
      <c r="H20" s="60">
        <f>IF(D20&lt;TODAY(), TODAY()-D20, 0)</f>
        <v/>
      </c>
      <c r="I20">
        <f>IF(H20=0, "AL DÍA", IF(H20&lt;=30, "VENCIDA", "CRÍTICA"))</f>
        <v/>
      </c>
    </row>
    <row r="21">
      <c r="A21" s="61" t="inlineStr">
        <is>
          <t>TOTAL CxC</t>
        </is>
      </c>
      <c r="F21" s="62">
        <f>SUM(F3:F20)</f>
        <v/>
      </c>
      <c r="G21" s="62">
        <f>SUM(G3:G20)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style="36" min="1" max="1"/>
    <col width="15" customWidth="1" style="36" min="2" max="2"/>
    <col width="12" customWidth="1" style="36" min="3" max="3"/>
    <col width="12" customWidth="1" style="36" min="4" max="4"/>
    <col width="12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63" t="inlineStr">
        <is>
          <t>CUENTAS POR PAGAR (CxP)</t>
        </is>
      </c>
    </row>
    <row r="2">
      <c r="A2" s="59" t="inlineStr">
        <is>
          <t>Proveedor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Monto USD</t>
        </is>
      </c>
      <c r="F2" s="59" t="inlineStr">
        <is>
          <t>Saldo USD</t>
        </is>
      </c>
      <c r="G2" s="59" t="inlineStr">
        <is>
          <t>Días Vencido</t>
        </is>
      </c>
      <c r="H2" s="59" t="inlineStr">
        <is>
          <t>Prioridad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Intcomex Costa Rica</t>
        </is>
      </c>
      <c r="B3" t="inlineStr">
        <is>
          <t>2518439</t>
        </is>
      </c>
      <c r="C3" s="49" t="n">
        <v>45964</v>
      </c>
      <c r="D3" s="49" t="n">
        <v>45994</v>
      </c>
      <c r="E3" s="51" t="n">
        <v>2317.09</v>
      </c>
      <c r="F3" s="51" t="n">
        <v>2317.09</v>
      </c>
      <c r="G3" s="60">
        <f>IF(D3&lt;TODAY(), TODAY()-D3, 0)</f>
        <v/>
      </c>
      <c r="H3" t="inlineStr">
        <is>
          <t>ALTA</t>
        </is>
      </c>
      <c r="I3">
        <f>IF(G3=0, "AL DÍA", IF(G3&lt;=15, "POR VENCER", "VENCIDA"))</f>
        <v/>
      </c>
    </row>
    <row r="4">
      <c r="A4" t="inlineStr">
        <is>
          <t>Intcomex Costa Rica</t>
        </is>
      </c>
      <c r="B4" t="inlineStr">
        <is>
          <t>2518765</t>
        </is>
      </c>
      <c r="C4" s="49" t="n">
        <v>45965</v>
      </c>
      <c r="D4" s="49" t="n">
        <v>45995</v>
      </c>
      <c r="E4" s="51" t="n">
        <v>679.12</v>
      </c>
      <c r="F4" s="51" t="n">
        <v>679.12</v>
      </c>
      <c r="G4" s="60">
        <f>IF(D4&lt;TODAY(), TODAY()-D4, 0)</f>
        <v/>
      </c>
      <c r="H4" t="inlineStr">
        <is>
          <t>ALTA</t>
        </is>
      </c>
      <c r="I4">
        <f>IF(G4=0, "AL DÍA", IF(G4&lt;=15, "POR VENCER", "VENCIDA"))</f>
        <v/>
      </c>
    </row>
    <row r="5">
      <c r="A5" t="inlineStr">
        <is>
          <t>Intcomex Costa Rica</t>
        </is>
      </c>
      <c r="B5" t="inlineStr">
        <is>
          <t>2520652</t>
        </is>
      </c>
      <c r="C5" s="49" t="n">
        <v>45971</v>
      </c>
      <c r="D5" s="49" t="n">
        <v>46001</v>
      </c>
      <c r="E5" s="51" t="n">
        <v>565.34</v>
      </c>
      <c r="F5" s="51" t="n">
        <v>565.34</v>
      </c>
      <c r="G5" s="60">
        <f>IF(D5&lt;TODAY(), TODAY()-D5, 0)</f>
        <v/>
      </c>
      <c r="H5" t="inlineStr">
        <is>
          <t>ALTA</t>
        </is>
      </c>
      <c r="I5">
        <f>IF(G5=0, "AL DÍA", IF(G5&lt;=15, "POR VENCER", "VENCIDA"))</f>
        <v/>
      </c>
    </row>
    <row r="6">
      <c r="A6" t="inlineStr">
        <is>
          <t>Alquiler Oficina</t>
        </is>
      </c>
      <c r="B6" t="inlineStr">
        <is>
          <t>Mensual</t>
        </is>
      </c>
      <c r="C6" s="49" t="n">
        <v>45976</v>
      </c>
      <c r="D6" s="49" t="n">
        <v>46006</v>
      </c>
      <c r="E6" s="51" t="n">
        <v>775</v>
      </c>
      <c r="F6" s="51" t="n">
        <v>775</v>
      </c>
      <c r="G6" s="60">
        <f>IF(D6&lt;TODAY(), TODAY()-D6, 0)</f>
        <v/>
      </c>
      <c r="H6" t="inlineStr">
        <is>
          <t>CRÍTICA</t>
        </is>
      </c>
      <c r="I6">
        <f>IF(G6=0, "AL DÍA", IF(G6&lt;=15, "POR VENCER", "VENCIDA"))</f>
        <v/>
      </c>
    </row>
    <row r="7">
      <c r="A7" t="inlineStr">
        <is>
          <t>Nissan - Financiamiento</t>
        </is>
      </c>
      <c r="B7" t="inlineStr">
        <is>
          <t>Cuota mensual</t>
        </is>
      </c>
      <c r="C7" s="49" t="n">
        <v>45976</v>
      </c>
      <c r="D7" s="49" t="n">
        <v>46006</v>
      </c>
      <c r="E7" s="51" t="n">
        <v>800</v>
      </c>
      <c r="F7" s="51" t="n">
        <v>800</v>
      </c>
      <c r="G7" s="60">
        <f>IF(D7&lt;TODAY(), TODAY()-D7, 0)</f>
        <v/>
      </c>
      <c r="H7" t="inlineStr">
        <is>
          <t>ALTA</t>
        </is>
      </c>
      <c r="I7">
        <f>IF(G7=0, "AL DÍA", IF(G7&lt;=15, "POR VENCER", "VENCIDA"))</f>
        <v/>
      </c>
    </row>
    <row r="8">
      <c r="A8" t="inlineStr">
        <is>
          <t>Hacienda - IVA/Renta</t>
        </is>
      </c>
      <c r="B8" t="inlineStr">
        <is>
          <t>Arreglo de pago</t>
        </is>
      </c>
      <c r="C8" s="49" t="n">
        <v>45992</v>
      </c>
      <c r="D8" s="49" t="n">
        <v>46022</v>
      </c>
      <c r="E8" s="51" t="n">
        <v>10000</v>
      </c>
      <c r="F8" s="51" t="n">
        <v>10000</v>
      </c>
      <c r="G8" s="60">
        <f>IF(D8&lt;TODAY(), TODAY()-D8, 0)</f>
        <v/>
      </c>
      <c r="H8" t="inlineStr">
        <is>
          <t>BAJA</t>
        </is>
      </c>
      <c r="I8">
        <f>IF(G8=0, "AL DÍA", IF(G8&lt;=15, "POR VENCER", "VENCIDA"))</f>
        <v/>
      </c>
    </row>
    <row r="9">
      <c r="A9" t="inlineStr">
        <is>
          <t>Sea Global Logistics (SGL)</t>
        </is>
      </c>
      <c r="B9" t="inlineStr">
        <is>
          <t>Importación 1</t>
        </is>
      </c>
      <c r="C9" s="49" t="n">
        <v>45944</v>
      </c>
      <c r="D9" s="49" t="n">
        <v>45974</v>
      </c>
      <c r="E9" s="51" t="n">
        <v>14.69</v>
      </c>
      <c r="F9" s="51" t="n">
        <v>14.69</v>
      </c>
      <c r="G9" s="60">
        <f>IF(D9&lt;TODAY(), TODAY()-D9, 0)</f>
        <v/>
      </c>
      <c r="H9" t="inlineStr">
        <is>
          <t>MEDIA</t>
        </is>
      </c>
      <c r="I9">
        <f>IF(G9=0, "AL DÍA", IF(G9&lt;=15, "POR VENCER", "VENCIDA"))</f>
        <v/>
      </c>
    </row>
    <row r="10">
      <c r="A10" t="inlineStr">
        <is>
          <t>Sea Global Logistics (SGL)</t>
        </is>
      </c>
      <c r="B10" t="inlineStr">
        <is>
          <t>Importación 2</t>
        </is>
      </c>
      <c r="C10" s="49" t="n">
        <v>45944</v>
      </c>
      <c r="D10" s="49" t="n">
        <v>45974</v>
      </c>
      <c r="E10" s="51" t="n">
        <v>14.69</v>
      </c>
      <c r="F10" s="51" t="n">
        <v>14.69</v>
      </c>
      <c r="G10" s="60">
        <f>IF(D10&lt;TODAY(), TODAY()-D10, 0)</f>
        <v/>
      </c>
      <c r="H10" t="inlineStr">
        <is>
          <t>MEDIA</t>
        </is>
      </c>
      <c r="I10">
        <f>IF(G10=0, "AL DÍA", IF(G10&lt;=15, "POR VENCER", "VENCIDA"))</f>
        <v/>
      </c>
    </row>
    <row r="11">
      <c r="A11" t="inlineStr">
        <is>
          <t>Corporacion Geoalerta TTI, S.A.</t>
        </is>
      </c>
      <c r="B11" t="inlineStr">
        <is>
          <t>Seguridad Sept</t>
        </is>
      </c>
      <c r="C11" s="49" t="n">
        <v>45944</v>
      </c>
      <c r="D11" s="49" t="n">
        <v>45974</v>
      </c>
      <c r="E11" s="51" t="n">
        <v>33.9</v>
      </c>
      <c r="F11" s="51" t="n">
        <v>33.9</v>
      </c>
      <c r="G11" s="60">
        <f>IF(D11&lt;TODAY(), TODAY()-D11, 0)</f>
        <v/>
      </c>
      <c r="H11" t="inlineStr">
        <is>
          <t>MEDIA</t>
        </is>
      </c>
      <c r="I11">
        <f>IF(G11=0, "AL DÍA", IF(G11&lt;=15, "POR VENCER", "VENCIDA"))</f>
        <v/>
      </c>
    </row>
    <row r="12">
      <c r="A12" t="inlineStr">
        <is>
          <t>Computadores Economicos, S.A.</t>
        </is>
      </c>
      <c r="B12" t="inlineStr">
        <is>
          <t>LCD/Bateria/Pantalla</t>
        </is>
      </c>
      <c r="C12" s="49" t="n">
        <v>45954</v>
      </c>
      <c r="D12" s="49" t="n">
        <v>45984</v>
      </c>
      <c r="E12" s="51" t="n">
        <v>284.9</v>
      </c>
      <c r="F12" s="51" t="n">
        <v>284.9</v>
      </c>
      <c r="G12" s="60">
        <f>IF(D12&lt;TODAY(), TODAY()-D12, 0)</f>
        <v/>
      </c>
      <c r="H12" t="inlineStr">
        <is>
          <t>MEDIA</t>
        </is>
      </c>
      <c r="I12">
        <f>IF(G12=0, "AL DÍA", IF(G12&lt;=15, "POR VENCER", "VENCIDA"))</f>
        <v/>
      </c>
    </row>
    <row r="13">
      <c r="A13" t="inlineStr">
        <is>
          <t>Eurocomp de Costa Rica, S.A.</t>
        </is>
      </c>
      <c r="B13" t="inlineStr">
        <is>
          <t>Teclado/Mouse</t>
        </is>
      </c>
      <c r="C13" s="49" t="n">
        <v>45950</v>
      </c>
      <c r="D13" s="49" t="n">
        <v>45980</v>
      </c>
      <c r="E13" s="51" t="n">
        <v>16.92</v>
      </c>
      <c r="F13" s="51" t="n">
        <v>16.92</v>
      </c>
      <c r="G13" s="60">
        <f>IF(D13&lt;TODAY(), TODAY()-D13, 0)</f>
        <v/>
      </c>
      <c r="H13" t="inlineStr">
        <is>
          <t>MEDIA</t>
        </is>
      </c>
      <c r="I13">
        <f>IF(G13=0, "AL DÍA", IF(G13&lt;=15, "POR VENCER", "VENCIDA"))</f>
        <v/>
      </c>
    </row>
    <row r="14">
      <c r="A14" t="inlineStr">
        <is>
          <t>Eurocomp de Costa Rica, S.A.</t>
        </is>
      </c>
      <c r="B14" t="inlineStr">
        <is>
          <t>PC/Laptop/UPS/Monitor</t>
        </is>
      </c>
      <c r="C14" s="49" t="n">
        <v>45947</v>
      </c>
      <c r="D14" s="49" t="n">
        <v>45977</v>
      </c>
      <c r="E14" s="51" t="n">
        <v>2007.68</v>
      </c>
      <c r="F14" s="51" t="n">
        <v>2007.68</v>
      </c>
      <c r="G14" s="60">
        <f>IF(D14&lt;TODAY(), TODAY()-D14, 0)</f>
        <v/>
      </c>
      <c r="H14" t="inlineStr">
        <is>
          <t>ALTA</t>
        </is>
      </c>
      <c r="I14">
        <f>IF(G14=0, "AL DÍA", IF(G14&lt;=15, "POR VENCER", "VENCIDA"))</f>
        <v/>
      </c>
    </row>
    <row r="15">
      <c r="A15" s="64" t="inlineStr">
        <is>
          <t>TOTAL CxP</t>
        </is>
      </c>
      <c r="E15" s="62">
        <f>SUM(E3:E14)</f>
        <v/>
      </c>
      <c r="F15" s="62">
        <f>SUM(F3:F14)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2025-11-13T00:54:25Z</dcterms:created>
  <dcterms:modified xmlns:dcterms="http://purl.org/dc/terms/" xmlns:xsi="http://www.w3.org/2001/XMLSchema-instance" xsi:type="dcterms:W3CDTF">2025-11-13T02:50:45Z</dcterms:modified>
  <cp:lastModifiedBy>Alvaro Velasco</cp:lastModifiedBy>
</cp:coreProperties>
</file>